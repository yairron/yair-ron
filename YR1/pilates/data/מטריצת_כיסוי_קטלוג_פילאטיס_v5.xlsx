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8" autoFilterDateGrouping="1"/>
  </bookViews>
  <sheets>
    <sheet xmlns:r="http://schemas.openxmlformats.org/officeDocument/2006/relationships" name="הוראות שימוש" sheetId="1" state="visible" r:id="rId1"/>
    <sheet xmlns:r="http://schemas.openxmlformats.org/officeDocument/2006/relationships" name="מטריצת תרגילים" sheetId="2" state="visible" r:id="rId2"/>
    <sheet xmlns:r="http://schemas.openxmlformats.org/officeDocument/2006/relationships" name="מטריצת שיעורים" sheetId="3" state="visible" r:id="rId3"/>
    <sheet xmlns:r="http://schemas.openxmlformats.org/officeDocument/2006/relationships" name="מאגר מועמדים" sheetId="4" state="visible" r:id="rId4"/>
    <sheet xmlns:r="http://schemas.openxmlformats.org/officeDocument/2006/relationships" name="סרטונים נבחרים" sheetId="5" state="visible" r:id="rId5"/>
    <sheet xmlns:r="http://schemas.openxmlformats.org/officeDocument/2006/relationships" name="עקרונות ליבה" sheetId="6" state="visible" r:id="rId6"/>
    <sheet xmlns:r="http://schemas.openxmlformats.org/officeDocument/2006/relationships" name="ערוצים מאושרים" sheetId="7" state="visible" r:id="rId7"/>
    <sheet xmlns:r="http://schemas.openxmlformats.org/officeDocument/2006/relationships" name="בדיקת קישורים" sheetId="8" state="visible" r:id="rId8"/>
    <sheet xmlns:r="http://schemas.openxmlformats.org/officeDocument/2006/relationships" name="רשימת חיפוש מוכנה"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13">
    <font>
      <name val="Arial"/>
      <charset val="1"/>
      <family val="2"/>
      <color theme="1"/>
      <sz val="11"/>
    </font>
    <font>
      <name val="Arial"/>
      <family val="0"/>
      <sz val="10"/>
    </font>
    <font>
      <name val="Arial"/>
      <family val="0"/>
      <sz val="10"/>
    </font>
    <font>
      <name val="Arial"/>
      <family val="0"/>
      <sz val="10"/>
    </font>
    <font>
      <name val="Arial"/>
      <charset val="1"/>
      <family val="0"/>
      <b val="1"/>
      <color rgb="FF2F5496"/>
      <sz val="16"/>
    </font>
    <font>
      <name val="Arial"/>
      <charset val="1"/>
      <family val="0"/>
      <b val="1"/>
      <sz val="12"/>
    </font>
    <font>
      <name val="Arial"/>
      <charset val="1"/>
      <family val="0"/>
      <sz val="10"/>
    </font>
    <font>
      <name val="Arial"/>
      <charset val="1"/>
      <family val="0"/>
      <b val="1"/>
      <color rgb="FF2F5496"/>
      <sz val="12"/>
    </font>
    <font>
      <name val="Arial"/>
      <charset val="1"/>
      <family val="0"/>
      <b val="1"/>
      <color rgb="FFFFFFFF"/>
      <sz val="11"/>
    </font>
    <font>
      <name val="Arial"/>
      <charset val="1"/>
      <family val="0"/>
      <b val="1"/>
      <sz val="11"/>
    </font>
    <font>
      <name val="David"/>
      <charset val="1"/>
      <family val="2"/>
      <color theme="1"/>
      <sz val="11"/>
    </font>
    <font>
      <name val="Arial"/>
      <charset val="1"/>
      <family val="0"/>
      <color rgb="FF1155CC"/>
      <sz val="10"/>
      <u val="single"/>
    </font>
    <font>
      <name val="Arial"/>
      <charset val="1"/>
      <family val="0"/>
      <color rgb="FF0000FF"/>
      <sz val="10"/>
    </font>
  </fonts>
  <fills count="5">
    <fill>
      <patternFill/>
    </fill>
    <fill>
      <patternFill patternType="gray125"/>
    </fill>
    <fill>
      <patternFill patternType="solid">
        <fgColor rgb="FF2F5496"/>
        <bgColor rgb="FF1155CC"/>
      </patternFill>
    </fill>
    <fill>
      <patternFill patternType="solid">
        <fgColor rgb="FFFFF2CC"/>
        <bgColor rgb="FFFFFFFF"/>
      </patternFill>
    </fill>
    <fill>
      <patternFill patternType="solid">
        <fgColor rgb="FFD9E2F3"/>
        <bgColor rgb="FFD9EAD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right" vertical="center" wrapText="1"/>
    </xf>
    <xf numFmtId="0" fontId="7" fillId="0" borderId="0" applyAlignment="1" pivotButton="0" quotePrefix="0" xfId="0">
      <alignment horizontal="general" vertical="bottom"/>
    </xf>
    <xf numFmtId="0" fontId="0" fillId="0" borderId="0" applyAlignment="1" pivotButton="0" quotePrefix="0" xfId="0">
      <alignment horizontal="right" vertical="center" wrapText="1"/>
    </xf>
    <xf numFmtId="0" fontId="8"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right"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right" vertical="center" wrapText="1"/>
    </xf>
    <xf numFmtId="0" fontId="9" fillId="4" borderId="1" applyAlignment="1" pivotButton="0" quotePrefix="0" xfId="0">
      <alignment horizontal="center" vertical="center" wrapText="1"/>
    </xf>
    <xf numFmtId="0" fontId="10" fillId="0" borderId="0" applyAlignment="1" pivotButton="0" quotePrefix="0" xfId="0">
      <alignment horizontal="general" vertical="bottom"/>
    </xf>
    <xf numFmtId="0" fontId="11"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3" borderId="1" applyAlignment="1" pivotButton="0" quotePrefix="0" xfId="0">
      <alignment horizontal="right" vertical="center" wrapText="1"/>
    </xf>
    <xf numFmtId="0" fontId="6"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right" vertical="center" wrapText="1"/>
    </xf>
    <xf numFmtId="0" fontId="7" fillId="0" borderId="0" applyAlignment="1" pivotButton="0" quotePrefix="0" xfId="0">
      <alignment horizontal="general" vertical="bottom"/>
    </xf>
    <xf numFmtId="0" fontId="0" fillId="0" borderId="0" applyAlignment="1" pivotButton="0" quotePrefix="0" xfId="0">
      <alignment horizontal="right" vertical="center" wrapText="1"/>
    </xf>
    <xf numFmtId="0" fontId="8"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right" vertical="center" wrapText="1"/>
    </xf>
    <xf numFmtId="0" fontId="0" fillId="3" borderId="1" applyAlignment="1" pivotButton="0" quotePrefix="0" xfId="0">
      <alignment horizontal="center" vertical="center" wrapText="1"/>
    </xf>
    <xf numFmtId="0" fontId="0" fillId="3" borderId="1" applyAlignment="1" pivotButton="0" quotePrefix="0" xfId="0">
      <alignment horizontal="right" vertical="center" wrapText="1"/>
    </xf>
    <xf numFmtId="0" fontId="9" fillId="4" borderId="1" applyAlignment="1" pivotButton="0" quotePrefix="0" xfId="0">
      <alignment horizontal="center" vertical="center" wrapText="1"/>
    </xf>
    <xf numFmtId="0" fontId="10" fillId="0" borderId="0" applyAlignment="1" pivotButton="0" quotePrefix="0" xfId="0">
      <alignment horizontal="general" vertical="bottom"/>
    </xf>
    <xf numFmtId="0" fontId="11"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3" borderId="1" applyAlignment="1" pivotButton="0" quotePrefix="0" xfId="0">
      <alignment horizontal="right" vertical="center" wrapText="1"/>
    </xf>
    <xf numFmtId="0" fontId="6"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6" fillId="3"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F4CCCC"/>
        </patternFill>
      </fill>
    </dxf>
    <dxf>
      <fill>
        <patternFill>
          <bgColor rgb="FFFFF2CC"/>
        </patternFill>
      </fill>
    </dxf>
    <dxf>
      <fill>
        <patternFill>
          <bgColor rgb="FFD9EAD3"/>
        </patternFill>
      </fill>
    </dxf>
    <dxf>
      <fill>
        <patternFill>
          <bgColor rgb="FFD9EAD3"/>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990000"/>
      <rgbColor rgb="FF38761D"/>
      <rgbColor rgb="FF000080"/>
      <rgbColor rgb="FFBF9000"/>
      <rgbColor rgb="FF800080"/>
      <rgbColor rgb="FF008080"/>
      <rgbColor rgb="FFB7B7B7"/>
      <rgbColor rgb="FF808080"/>
      <rgbColor rgb="FF9999FF"/>
      <rgbColor rgb="FF993366"/>
      <rgbColor rgb="FFFFF2CC"/>
      <rgbColor rgb="FFCCFFFF"/>
      <rgbColor rgb="FF660066"/>
      <rgbColor rgb="FFFF8080"/>
      <rgbColor rgb="FF1155CC"/>
      <rgbColor rgb="FFD9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E69138"/>
      <rgbColor rgb="FFFF6600"/>
      <rgbColor rgb="FF674EA7"/>
      <rgbColor rgb="FF70AD47"/>
      <rgbColor rgb="FF003366"/>
      <rgbColor rgb="FF45818E"/>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hyperlink" Target="https://www.youtube.com/watch?v=lCg_gh_fppI" TargetMode="External" Id="rId1"/><Relationship Type="http://schemas.openxmlformats.org/officeDocument/2006/relationships/hyperlink" Target="https://www.youtube.com/watch?v=tUVvec3z-mo" TargetMode="External" Id="rId2"/><Relationship Type="http://schemas.openxmlformats.org/officeDocument/2006/relationships/hyperlink" Target="https://www.youtube.com/watch?v=cPjK7QqIY6Q" TargetMode="External" Id="rId3"/><Relationship Type="http://schemas.openxmlformats.org/officeDocument/2006/relationships/hyperlink" Target="https://www.youtube.com/watch?v=hyAfBY3NTWY" TargetMode="External" Id="rId4"/><Relationship Type="http://schemas.openxmlformats.org/officeDocument/2006/relationships/hyperlink" Target="https://www.youtube.com/watch?v=lws5oLzhHTA" TargetMode="External" Id="rId5"/><Relationship Type="http://schemas.openxmlformats.org/officeDocument/2006/relationships/hyperlink" Target="https://www.youtube.com/watch?v=GFuhJQloXu8" TargetMode="External" Id="rId6"/><Relationship Type="http://schemas.openxmlformats.org/officeDocument/2006/relationships/hyperlink" Target="https://www.youtube.com/watch?v=6bgk7trQBuk" TargetMode="External" Id="rId7"/><Relationship Type="http://schemas.openxmlformats.org/officeDocument/2006/relationships/hyperlink" Target="https://www.youtube.com/watch?v=dWYpp5WAARY" TargetMode="External" Id="rId8"/><Relationship Type="http://schemas.openxmlformats.org/officeDocument/2006/relationships/hyperlink" Target="https://www.youtube.com/watch?v=_aXCj84uPiw" TargetMode="External" Id="rId9"/><Relationship Type="http://schemas.openxmlformats.org/officeDocument/2006/relationships/hyperlink" Target="https://www.youtube.com/watch?v=TJa6bVbosik" TargetMode="External" Id="rId10"/></Relationships>
</file>

<file path=xl/worksheets/_rels/sheet5.xml.rels><Relationships xmlns="http://schemas.openxmlformats.org/package/2006/relationships"><Relationship Type="http://schemas.openxmlformats.org/officeDocument/2006/relationships/hyperlink" Target="https://www.youtube.com/watch?v=lCg_gh_fppI" TargetMode="External" Id="rId1"/><Relationship Type="http://schemas.openxmlformats.org/officeDocument/2006/relationships/hyperlink" Target="https://www.youtube.com/watch?v=tUVvec3z-mo" TargetMode="External" Id="rId2"/><Relationship Type="http://schemas.openxmlformats.org/officeDocument/2006/relationships/hyperlink" Target="https://www.youtube.com/watch?v=cPjK7QqIY6Q" TargetMode="External" Id="rId3"/><Relationship Type="http://schemas.openxmlformats.org/officeDocument/2006/relationships/hyperlink" Target="https://www.youtube.com/watch?v=hyAfBY3NTWY" TargetMode="External" Id="rId4"/><Relationship Type="http://schemas.openxmlformats.org/officeDocument/2006/relationships/hyperlink" Target="https://www.youtube.com/watch?v=lws5oLzhHTA" TargetMode="External" Id="rId5"/><Relationship Type="http://schemas.openxmlformats.org/officeDocument/2006/relationships/hyperlink" Target="https://www.youtube.com/watch?v=GFuhJQloXu8" TargetMode="External" Id="rId6"/><Relationship Type="http://schemas.openxmlformats.org/officeDocument/2006/relationships/hyperlink" Target="https://www.youtube.com/watch?v=6bgk7trQBuk" TargetMode="External" Id="rId7"/><Relationship Type="http://schemas.openxmlformats.org/officeDocument/2006/relationships/hyperlink" Target="https://www.youtube.com/watch?v=dWYpp5WAARY" TargetMode="External" Id="rId8"/><Relationship Type="http://schemas.openxmlformats.org/officeDocument/2006/relationships/hyperlink" Target="https://www.youtube.com/watch?v=_aXCj84uPiw" TargetMode="External" Id="rId9"/><Relationship Type="http://schemas.openxmlformats.org/officeDocument/2006/relationships/hyperlink" Target="https://www.youtube.com/watch?v=TJa6bVbosik" TargetMode="External" Id="rId10"/></Relationships>
</file>

<file path=xl/worksheets/_rels/sheet7.xml.rels><Relationships xmlns="http://schemas.openxmlformats.org/package/2006/relationships"><Relationship Type="http://schemas.openxmlformats.org/officeDocument/2006/relationships/hyperlink" Target="https://www.youtube.com/@blogilates" TargetMode="External" Id="rId1"/><Relationship Type="http://schemas.openxmlformats.org/officeDocument/2006/relationships/hyperlink" Target="https://www.blogilates.com/about-cassey/" TargetMode="External" Id="rId2"/><Relationship Type="http://schemas.openxmlformats.org/officeDocument/2006/relationships/hyperlink" Target="https://www.youtube.com/@JessicaValantPilates" TargetMode="External" Id="rId3"/><Relationship Type="http://schemas.openxmlformats.org/officeDocument/2006/relationships/hyperlink" Target="https://www.youtube.com/@LottieMurphyPilates" TargetMode="External" Id="rId4"/><Relationship Type="http://schemas.openxmlformats.org/officeDocument/2006/relationships/hyperlink" Target="https://www.pilatesanytime.com/" TargetMode="External" Id="rId5"/><Relationship Type="http://schemas.openxmlformats.org/officeDocument/2006/relationships/hyperlink" Target="https://www.youtube.com/@FlowwithMira" TargetMode="External" Id="rId6"/><Relationship Type="http://schemas.openxmlformats.org/officeDocument/2006/relationships/hyperlink" Target="https://www.youtube.com/@TrifectaPilates" TargetMode="External" Id="rId7"/><Relationship Type="http://schemas.openxmlformats.org/officeDocument/2006/relationships/hyperlink" Target="https://www.youtube.com/@KimSaha" TargetMode="External" Id="rId8"/><Relationship Type="http://schemas.openxmlformats.org/officeDocument/2006/relationships/hyperlink" Target="https://www.youtube.com/@BethSandlin" TargetMode="External" Id="rId9"/><Relationship Type="http://schemas.openxmlformats.org/officeDocument/2006/relationships/hyperlink" Target="https://www.youtube.com/@DoctorAlekseev_he" TargetMode="External" Id="rId10"/><Relationship Type="http://schemas.openxmlformats.org/officeDocument/2006/relationships/hyperlink" Target="https://www.youtube.com/@Yael.israel" TargetMode="External" Id="rId11"/><Relationship Type="http://schemas.openxmlformats.org/officeDocument/2006/relationships/hyperlink" Target="https://www.themarker.com/labels/2022-08-31/ty-article-labels/00000182-f3ab-dd7e-a5f7-fbebd5800000" TargetMode="External" Id="rId12"/></Relationships>
</file>

<file path=xl/worksheets/sheet1.xml><?xml version="1.0" encoding="utf-8"?>
<worksheet xmlns="http://schemas.openxmlformats.org/spreadsheetml/2006/main">
  <sheetPr filterMode="0">
    <tabColor rgb="FF2F5496"/>
    <outlinePr summaryBelow="1" summaryRight="1"/>
    <pageSetUpPr fitToPage="0"/>
  </sheetPr>
  <dimension ref="A1:A52"/>
  <sheetViews>
    <sheetView showFormulas="0" showGridLines="0"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171875" defaultRowHeight="13.5" zeroHeight="0" outlineLevelRow="0"/>
  <cols>
    <col width="115" customWidth="1" style="24" min="1" max="1"/>
  </cols>
  <sheetData>
    <row r="1" ht="19.5" customHeight="1" s="25">
      <c r="A1" s="26" t="inlineStr">
        <is>
          <t>מטריצת כיסוי נושאים - קטלוג סרטוני פילאטיס (גרסה משודרגת)</t>
        </is>
      </c>
    </row>
    <row r="2" ht="13.5" customHeight="1" s="25">
      <c r="A2" s="27" t="n"/>
    </row>
    <row r="3" ht="15" customHeight="1" s="25">
      <c r="A3" s="28" t="inlineStr">
        <is>
          <t>מטרת הקובץ</t>
        </is>
      </c>
    </row>
    <row r="4" ht="13.5" customHeight="1" s="25">
      <c r="A4" s="29" t="inlineStr">
        <is>
          <t>קובץ זה משמש לתכנון, איסוף, דירוג וניהול קטלוג סרטוני פילאטיס. הוא כולל:</t>
        </is>
      </c>
    </row>
    <row r="5" ht="13.5" customHeight="1" s="25">
      <c r="A5" s="29" t="inlineStr">
        <is>
          <t>1. הוראות שימוש - הסבר על מבנה הקובץ ואופן המילוי</t>
        </is>
      </c>
    </row>
    <row r="6" ht="13.5" customHeight="1" s="25">
      <c r="A6" s="29" t="inlineStr">
        <is>
          <t>2. מטריצת תרגילים - הגדרת יעדים לפי אזור גוף, ציוד, רמה ומטרה</t>
        </is>
      </c>
    </row>
    <row r="7" ht="13.5" customHeight="1" s="25">
      <c r="A7" s="29" t="inlineStr">
        <is>
          <t>3. מטריצת שיעורים - הגדרת יעדים לפי מטרת שיעור ורמת קושי</t>
        </is>
      </c>
    </row>
    <row r="8" ht="13.5" customHeight="1" s="25">
      <c r="A8" s="29" t="inlineStr">
        <is>
          <t>4. מאגר מועמדים - רישום כל סרטון שנמצא עם פרטים מלאים וניקוד</t>
        </is>
      </c>
    </row>
    <row r="9" ht="13.5" customHeight="1" s="25">
      <c r="A9" s="29" t="inlineStr">
        <is>
          <t>5. סרטונים נבחרים - סינון אוטומטי של הסרטונים שנכנסו לקטלוג</t>
        </is>
      </c>
    </row>
    <row r="10" ht="13.5" customHeight="1" s="25">
      <c r="A10" s="29" t="inlineStr">
        <is>
          <t>6. עקרונות ליבה - רשימת בדיקה לאיכות סרטון</t>
        </is>
      </c>
    </row>
    <row r="11" ht="13.5" customHeight="1" s="25">
      <c r="A11" s="29" t="inlineStr">
        <is>
          <t>7. ערוצים מאושרים - רשימת ערוצים עם היפרלינקים וסטטוס</t>
        </is>
      </c>
    </row>
    <row r="12" ht="13.5" customHeight="1" s="25">
      <c r="A12" s="29" t="inlineStr">
        <is>
          <t>8. בדיקת קישורים - מעקב תחזוקה אחר קישורים תקינים</t>
        </is>
      </c>
    </row>
    <row r="13" ht="13.5" customHeight="1" s="25">
      <c r="A13" s="29" t="inlineStr">
        <is>
          <t>9. רשימת חיפוש מוכנה - ניסוחים מוכנים לחיפוש לפי המטריצה</t>
        </is>
      </c>
    </row>
    <row r="14" ht="13.5" customHeight="1" s="25">
      <c r="A14" s="27" t="n"/>
    </row>
    <row r="15" ht="15" customHeight="1" s="25">
      <c r="A15" s="28" t="inlineStr">
        <is>
          <t>איך למלא</t>
        </is>
      </c>
    </row>
    <row r="16" ht="13.5" customHeight="1" s="25">
      <c r="A16" s="29" t="inlineStr">
        <is>
          <t>• שלב 1: מלא את מטריצת התרגילים והשיעורים עם יעדים ועדיפויות</t>
        </is>
      </c>
    </row>
    <row r="17" ht="13.5" customHeight="1" s="25">
      <c r="A17" s="29" t="inlineStr">
        <is>
          <t>• שלב 2: בצע חיפוש לפי רשימת החיפוש המוכנה</t>
        </is>
      </c>
    </row>
    <row r="18" ht="13.5" customHeight="1" s="25">
      <c r="A18" s="29" t="inlineStr">
        <is>
          <t>• שלב 3: רשום כל סרטון שנמצא בגיליון 'מאגר מועמדים' עם ניקוד מלא</t>
        </is>
      </c>
    </row>
    <row r="19" ht="13.5" customHeight="1" s="25">
      <c r="A19" s="29" t="inlineStr">
        <is>
          <t>• שלב 4: סמן החלטה (נבחר/נדחה/מועמד) לכל סרטון</t>
        </is>
      </c>
    </row>
    <row r="20" ht="13.5" customHeight="1" s="25">
      <c r="A20" s="29" t="inlineStr">
        <is>
          <t>• שלב 5: הסרטונים עם החלטה 'נבחר' יופיעו אוטומטית ב'סרטונים נבחרים'</t>
        </is>
      </c>
    </row>
    <row r="21" ht="13.5" customHeight="1" s="25">
      <c r="A21" s="29" t="inlineStr">
        <is>
          <t>• שלב 6: בצע בדיקת קישורים תקופתית ועדכן בגיליון 'בדיקת קישורים'</t>
        </is>
      </c>
    </row>
    <row r="23" ht="13.5" customHeight="1" s="25">
      <c r="A23" s="30" t="inlineStr">
        <is>
          <t>עדכוני גרסה (v4)</t>
        </is>
      </c>
    </row>
    <row r="24" ht="13.5" customHeight="1" s="25">
      <c r="A24" s="31" t="inlineStr">
        <is>
          <t>• תוקן שיבוש נתונים חוצה-גיליונות: עריכה שבוצעה תוך כדי שגיליונות מקובצים יחד (grouped sheets) גרמה להעתקת</t>
        </is>
      </c>
    </row>
    <row r="25" ht="13.5" customHeight="1" s="25">
      <c r="A25" s="31" t="inlineStr">
        <is>
          <t xml:space="preserve">  שורה 10 (הערוץ 'ד"ר אלכסייב') לתוך העמודות הראשונות בשורה 10 בשמונה גיליונות שונים במקום רק בגיליון הערוצים.</t>
        </is>
      </c>
    </row>
    <row r="26" ht="13.5" customHeight="1" s="25">
      <c r="A26" s="31" t="inlineStr">
        <is>
          <t xml:space="preserve">  כל השורות שוחזרו לתוכנן המקורי; הערוץ החדש נשאר רק בגיליון 'ערוצים מאושרים' כפי שהתכוונת.</t>
        </is>
      </c>
    </row>
    <row r="27" ht="13.5" customHeight="1" s="25">
      <c r="A27" s="31" t="inlineStr">
        <is>
          <t>• נוספו 6 סרטונים אמיתיים ומאומתים מהערוץ Blogilates (Cassey Ho) לגיליון 'מאגר מועמדים', מדורגים לפי הקריטריונים.</t>
        </is>
      </c>
    </row>
    <row r="28" ht="13.5" customHeight="1" s="25">
      <c r="A28" s="31" t="inlineStr">
        <is>
          <t>• עודכנו בהתאם: 'סרטונים נבחרים', 'נמצאו' בשתי המטריצות, ו'רשימת חיפוש מוכנה'.</t>
        </is>
      </c>
    </row>
    <row r="29">
      <c r="A29" s="24" t="inlineStr"/>
    </row>
    <row r="30">
      <c r="A30" s="24" t="inlineStr">
        <is>
          <t>עדכוני גרסה (v5, 29.08.2026, ע"י Claude)</t>
        </is>
      </c>
    </row>
    <row r="31">
      <c r="A31" s="24" t="inlineStr">
        <is>
          <t>• תוקן שיבוש מזהה כפול (9) בגיליון 'ערוצים מאושרים' - ד"ר אלכסייב נשאר 9, יעל ישראל עודכנה ל-10, ורה זליבנסקי עודכנה ל-11.</t>
        </is>
      </c>
    </row>
    <row r="32">
      <c r="A32" s="24" t="inlineStr">
        <is>
          <t>• סרטון מועמד #4 (Cassey Ho, גומיית לולאה) - הכותרת תוקנה מול YouTube בפועל ('10 Minute Booty Burn Workout with Bands' במקום מה שנרשם במקור).</t>
        </is>
      </c>
    </row>
    <row r="33">
      <c r="A33" s="24" t="inlineStr">
        <is>
          <t>• הוסרו 2 מועמדים שנכשלו באימות ערוץ בפועל: #11 (יוחס בטעות ל'יעל ישראל', הערוץ האמיתי הוא 'Vilates') ו-#12 (יוחס בטעות ל'ורה זליבנסקי', הערוץ האמיתי הוא 'אגוגו מגזין בריאות').</t>
        </is>
      </c>
    </row>
    <row r="34">
      <c r="A34" s="24" t="inlineStr">
        <is>
          <t>• נוספו 10 מועמדים חדשים (#11-#20) - הסרטונים שכבר משולבים בפרוטוטייפ האתר (YR1/pilates/data/videos.json), כולם אומתו מול YouTube (oembed + משך זמן אמיתי). נוספו בהתאם 5 ערוצים חדשים לגיליון 'ערוצים מאושרים' בסטטוס 'לבדוק ידנית'.</t>
        </is>
      </c>
    </row>
    <row r="35">
      <c r="A35" s="24" t="inlineStr">
        <is>
          <t>• נוספה עמודת 'שפה' (עברית/אנגלית) למידע על כל סרטון ב-JSON של האתר.</t>
        </is>
      </c>
    </row>
    <row r="36">
      <c r="A36" s="24" t="inlineStr">
        <is>
          <t>• טקסונומיית אזורי גוף אוחדה לחלוקה הרחבה (5 קטגוריות, תואמת ל-JSON של האתר): 'רגליים' ו'ישבן וירכיים' אוחדו ל'ישבן ורגליים'; 'גב תחתון ויציבה' שונה ל'גב ויציבה'. עודכן בגיליונות 'מטריצת תרגילים', 'מאגר מועמדים', 'סרטונים נבחרים'. עמודת 'שרירים עיקריים' (פירוט אנטומי) לא שונתה.</t>
        </is>
      </c>
    </row>
    <row r="37">
      <c r="A37" s="24" t="inlineStr">
        <is>
          <t>• נוסף ערוץ #17 'פילאטיס עם עמית' (Pilates with Amit) לגיליון 'ערוצים מאושרים' בסטטוס 'לבדוק ידנית' - אומת מול YouTube בפועל, תוכן פילאטיס אמיתי וחופשי, אך ללא אזכור הכשרה בתיאור הערוץ.</t>
        </is>
      </c>
    </row>
    <row r="38">
      <c r="A38" s="24" t="inlineStr">
        <is>
          <t>• נוסף ערוץ #18 'Vilates' לגיליון 'ערוצים מאושרים' בסטטוס 'לא מומלץ' - אומת מול YouTube בפועל: תוכן עדכני בעיקר שיווקי (טיזרים לקורס בתשלום), אין הסמכה מצוינת, וזהו הערוץ שכבר זוהה בעבר בשיוך שגוי במאגר המועמדים.</t>
        </is>
      </c>
    </row>
    <row r="39">
      <c r="A39" s="24" t="inlineStr">
        <is>
          <t>• תואמו (נמצאו) 10 המועמדים מסוג 'תרגיל' ו-10 מסוג 'שיעור' (#1-20) כנגד 'מטריצת תרגילים'/'מטריצת שיעורים' - עודכנו עמודות 'נמצאו' בהתאם (9 שורות בתרגילים, 6 שורות בשיעורים). 4 מועמדי תרגיל ו-6 מועמדי שיעור (כולם עם ציוד גומייה/רינג) לא תאמו אף שורה קיימת במטריצה - ראו הערה נפרדת על פערי מבנה במטריצה.</t>
        </is>
      </c>
    </row>
    <row r="40">
      <c r="A40" s="24" t="inlineStr">
        <is>
          <t>• פער מבנה שהתגלה: מיזוג הטקסונומיה (הפעולה הקודמת) יצר שורות כפולות זהות ב'מטריצת תרגילים' - #14≡#21, #16≡#22, #19≡#24 (היו נפרדות כ'ישבן וירכיים' מול 'רגליים', עכשיו אותו תיוג בדיוק). לא מוזגו בפועל - ממתין להחלטה.</t>
        </is>
      </c>
    </row>
    <row r="41">
      <c r="A41" s="24" t="inlineStr">
        <is>
          <t>• פער מבנה נוסף: 'מטריצת שיעורים' מגדירה ציוד רק כ'ללא ציוד'/'גומיית לולאה' - 6 שיעורי גומייה אמיתיים (#9,#16-20 במאגר המועמדים, כולם עם גומיית רצועה ארוכה ו/או ציוד משולב) לא תואמים אף שורה קיימת. מומלץ להוסיף שורות ציוד נוספות, בדומה למטריצת התרגילים.</t>
        </is>
      </c>
    </row>
    <row r="42">
      <c r="A42" s="24" t="inlineStr"/>
    </row>
    <row r="43">
      <c r="A43" s="24" t="inlineStr">
        <is>
          <t>סדר פעולות מומלץ לחיפוש סרטוני תרגול (29.08.2026)</t>
        </is>
      </c>
    </row>
    <row r="44">
      <c r="A44" s="24" t="inlineStr">
        <is>
          <t>לכל משבצת חסרה/בתהליך במטריצות (תרגילים/שיעורים) - לחפש לפי הסדר הבא, ולעצור ברגע שנמצא סרטון שעומד בכל קריטריוני 'עקרונות ליבה':</t>
        </is>
      </c>
    </row>
    <row r="45">
      <c r="A45" s="24" t="inlineStr">
        <is>
          <t>שלב 1 - ערוצים בסטטוס 'מאושר': Blogilates (Cassey Ho), Jessica Valant Pilates, Lottie Murphy. הכי בטוח - לחפש קודם בתוך הערוץ עצמו (חיפוש היוטיוב הפנימי של הערוץ, או site:youtube.com/@ בגוגל) לפי מילות המפתח מ'רשימת חיפוש מוכנה'.</t>
        </is>
      </c>
    </row>
    <row r="46">
      <c r="A46" s="24" t="inlineStr">
        <is>
          <t>שלב 2 - ערוצים בסטטוס 'לבדוק ידנית': Flow with Mira, Trifecta Pilates, Kim Saha, Beth Sandlin, יעל ישראל, ורה זליבנסקי, MyBOD Wellness, LiveFitness, Posture Tonic, The Girl With The Pilates Mat, Keel Pilates, פילאטיס עם עמית, ד"ר אלכסייב. יש להחיל את מלוא רשימת 'עקרונות ליבה' על הסרטון הספציפי (לא להסתמך על כך שהערוץ כבר ברשימה).</t>
        </is>
      </c>
    </row>
    <row r="47">
      <c r="A47" s="24" t="inlineStr">
        <is>
          <t>שלב 3 - ערוצים בסטטוס 'לא מומלץ' (Pilates Anytime, Vilates) - רק כמוצא אחרון ורק אם: (א) נמצא סרטון ספציפי חופשי לגמרי (לא טעימה/פרסומת לקורס, לא דורש מנוי/הרשמה), ו-(ב) הוא עומד בכל שאר קריטריוני 'עקרונות ליבה'. לתעד באופן מפורש בהערות מדוע נבחר סרטון מערוץ לא-מומלץ.</t>
        </is>
      </c>
    </row>
    <row r="48">
      <c r="A48" s="24" t="inlineStr">
        <is>
          <t>שלב 4 - חיפוש חופשי באינטרנט (YouTube/Google) אם אף אחד מהערוצים הידועים לא סיפק תוצאה מתאימה: לחפש לפי הניסוח באנגלית מ'רשימת חיפוש מוכנה' (או ניסוח חדש תואם, אם המשבצת לא מופיעה שם), להעדיף ערוצים ותיקים/עקביים על סרטון בודד אקראי, ולהוסיף כל ערוץ חדש שנמצא לגיליון 'ערוצים מאושרים' (בסטטוס 'לבדוק ידנית') לפני/יחד עם הוספת המועמד ל'מאגר מועמדים' - כדי לשמור על עקביות הרשימה הנפתחת.</t>
        </is>
      </c>
    </row>
    <row r="49">
      <c r="A49" s="24" t="inlineStr">
        <is>
          <t>בכל שלב - להריץ את כל הבדיקות הטכניות שבוצעו עד כה על כל מועמד (כותרת/ערוץ/משך זמן מול YouTube בפועל, לא רק מידע משני) לפני קביעת 'לכלול בקטלוג'.</t>
        </is>
      </c>
    </row>
    <row r="50">
      <c r="A50" s="24" t="inlineStr">
        <is>
          <t>• תוקנו שני פערי מבנה: (א) מוזגו 3 זוגות שורות כפולות ב'מטריצת תרגילים' שנוצרו ממיזוג הטקסונומיה (#14+#21, #16+#22, #19+#24) - יעד/נמצאו סוכמו, מזהים חושבו מחדש 1-30, עדכון "כ"כ בהתאם. (ב) נוספו 4 שורות חדשות ל'מטריצת שיעורים' עבור ציוד "גומיית רצועה ארוכה" בשילוב מטרות שלא היו מיוצגות (#18-21) - כעת 6 מועמדי השיעור עם גומייה שלא תאמו שום יעד (#9,16-20 במאגר המועמדים) תואמים.</t>
        </is>
      </c>
    </row>
    <row r="51">
      <c r="A51" t="inlineStr">
        <is>
          <t>• חיפוש פעיל שביצע Claude (29.08.2026): נוספו 13 סרטונים חדשים (11 תרגילים + 2 שיעורים) שאותרו ואומתו לפי סדר החיפוש המתועד למעלה - בעיקר מערוצי Jessica Valant Pilates, Blogilates ו-Lottie Murphy (מאושרים), ואחד מ-PILATES BY IZZY (ערוץ חדש, נוסף כ'לבדוק ידנית').</t>
        </is>
      </c>
    </row>
    <row r="52">
      <c r="A52" t="inlineStr">
        <is>
          <t xml:space="preserve">  תוצאה: 7 מתוך 8 יעדי "חובה" בתרגילים הושלמו/כמעט הושלמו (רק #4 - בטן וליבה+גומיית לולאה+מתחילים - נותר פתוח, לא נמצא סרטון מתאים). 2 יעדי שיעורים נוספים הושלמו.</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0AD47"/>
    <outlinePr summaryBelow="1" summaryRight="1"/>
    <pageSetUpPr fitToPage="0"/>
  </sheetPr>
  <dimension ref="A1:L32"/>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6" customWidth="1" style="24" min="1" max="1"/>
    <col width="16" customWidth="1" style="24" min="2" max="2"/>
    <col width="26" customWidth="1" style="24" min="3" max="3"/>
    <col width="22" customWidth="1" style="24" min="4" max="4"/>
    <col width="20" customWidth="1" style="24" min="5" max="5"/>
    <col width="11" customWidth="1" style="24" min="6" max="6"/>
    <col width="14" customWidth="1" style="24" min="7" max="7"/>
    <col width="11" customWidth="1" style="24" min="8" max="8"/>
    <col width="7" customWidth="1" style="24" min="9" max="10"/>
    <col width="10" customWidth="1" style="24" min="11" max="11"/>
    <col width="30" customWidth="1" style="24" min="12" max="12"/>
  </cols>
  <sheetData>
    <row r="1" ht="13.5" customHeight="1" s="25">
      <c r="A1" s="32" t="inlineStr">
        <is>
          <t>מזהה</t>
        </is>
      </c>
      <c r="B1" s="32" t="inlineStr">
        <is>
          <t>אזור גוף</t>
        </is>
      </c>
      <c r="C1" s="32" t="inlineStr">
        <is>
          <t>שרירים עיקריים</t>
        </is>
      </c>
      <c r="D1" s="32" t="inlineStr">
        <is>
          <t>תרגיל/סוג</t>
        </is>
      </c>
      <c r="E1" s="32" t="inlineStr">
        <is>
          <t>ציוד</t>
        </is>
      </c>
      <c r="F1" s="32" t="inlineStr">
        <is>
          <t>רמה</t>
        </is>
      </c>
      <c r="G1" s="32" t="inlineStr">
        <is>
          <t>מטרה תפקודית</t>
        </is>
      </c>
      <c r="H1" s="32" t="inlineStr">
        <is>
          <t>עדיפות</t>
        </is>
      </c>
      <c r="I1" s="32" t="inlineStr">
        <is>
          <t>יעד</t>
        </is>
      </c>
      <c r="J1" s="32" t="inlineStr">
        <is>
          <t>נמצאו</t>
        </is>
      </c>
      <c r="K1" s="32" t="inlineStr">
        <is>
          <t>סטטוס</t>
        </is>
      </c>
      <c r="L1" s="32" t="inlineStr">
        <is>
          <t>הערות</t>
        </is>
      </c>
    </row>
    <row r="2" ht="13.5" customHeight="1" s="25">
      <c r="A2" s="33" t="n">
        <v>1</v>
      </c>
      <c r="B2" s="34" t="inlineStr">
        <is>
          <t>בטן וליבה</t>
        </is>
      </c>
      <c r="C2" s="34" t="inlineStr">
        <is>
          <t>רחב בטני, ישר בטני, אלכסוניים</t>
        </is>
      </c>
      <c r="D2" s="34" t="inlineStr">
        <is>
          <t>תרגילי ליבה בסיסיים</t>
        </is>
      </c>
      <c r="E2" s="34" t="inlineStr">
        <is>
          <t>ללא ציוד</t>
        </is>
      </c>
      <c r="F2" s="33" t="inlineStr">
        <is>
          <t>מתחילים</t>
        </is>
      </c>
      <c r="G2" s="33" t="inlineStr">
        <is>
          <t>חיזוק</t>
        </is>
      </c>
      <c r="H2" s="33" t="inlineStr">
        <is>
          <t>חובה</t>
        </is>
      </c>
      <c r="I2" s="33" t="n">
        <v>2</v>
      </c>
      <c r="J2" s="35" t="n">
        <v>2</v>
      </c>
      <c r="K2" s="33">
        <f>IF(J2=0,"חסר",IF(J2&lt;I2,"בתהליך","הושלם"))</f>
        <v/>
      </c>
      <c r="L2" s="36" t="n"/>
    </row>
    <row r="3" ht="13.5" customHeight="1" s="25">
      <c r="A3" s="33" t="n">
        <v>2</v>
      </c>
      <c r="B3" s="34" t="inlineStr">
        <is>
          <t>בטן וליבה</t>
        </is>
      </c>
      <c r="C3" s="34" t="inlineStr">
        <is>
          <t>רחב בטני, ישר בטני, אלכסוניים</t>
        </is>
      </c>
      <c r="D3" s="34" t="inlineStr">
        <is>
          <t>תרגילי ליבה בסיסיים</t>
        </is>
      </c>
      <c r="E3" s="34" t="inlineStr">
        <is>
          <t>ללא ציוד</t>
        </is>
      </c>
      <c r="F3" s="33" t="inlineStr">
        <is>
          <t>בינוני</t>
        </is>
      </c>
      <c r="G3" s="33" t="inlineStr">
        <is>
          <t>חיזוק</t>
        </is>
      </c>
      <c r="H3" s="33" t="inlineStr">
        <is>
          <t>חובה</t>
        </is>
      </c>
      <c r="I3" s="33" t="n">
        <v>1</v>
      </c>
      <c r="J3" s="35" t="n">
        <v>2</v>
      </c>
      <c r="K3" s="33">
        <f>IF(J3=0,"חסר",IF(J3&lt;I3,"בתהליך","הושלם"))</f>
        <v/>
      </c>
      <c r="L3" s="36" t="n"/>
    </row>
    <row r="4" ht="13.5" customHeight="1" s="25">
      <c r="A4" s="33" t="n">
        <v>3</v>
      </c>
      <c r="B4" s="34" t="inlineStr">
        <is>
          <t>בטן וליבה</t>
        </is>
      </c>
      <c r="C4" s="34" t="inlineStr">
        <is>
          <t>רחב בטני, ישר בטני, אלכסוניים</t>
        </is>
      </c>
      <c r="D4" s="34" t="inlineStr">
        <is>
          <t>תרגילי ליבה בסיסיים</t>
        </is>
      </c>
      <c r="E4" s="34" t="inlineStr">
        <is>
          <t>ללא ציוד</t>
        </is>
      </c>
      <c r="F4" s="33" t="inlineStr">
        <is>
          <t>מתקדם</t>
        </is>
      </c>
      <c r="G4" s="33" t="inlineStr">
        <is>
          <t>חיזוק</t>
        </is>
      </c>
      <c r="H4" s="33" t="inlineStr">
        <is>
          <t>רצוי</t>
        </is>
      </c>
      <c r="I4" s="33" t="n">
        <v>1</v>
      </c>
      <c r="J4" s="35" t="n">
        <v>0</v>
      </c>
      <c r="K4" s="33">
        <f>IF(J4=0,"חסר",IF(J4&lt;I4,"בתהליך","הושלם"))</f>
        <v/>
      </c>
      <c r="L4" s="36" t="n"/>
    </row>
    <row r="5" ht="13.5" customHeight="1" s="25">
      <c r="A5" s="33" t="n">
        <v>4</v>
      </c>
      <c r="B5" s="34" t="inlineStr">
        <is>
          <t>בטן וליבה</t>
        </is>
      </c>
      <c r="C5" s="34" t="inlineStr">
        <is>
          <t>רחב בטני, ישר בטני, אלכסוניים</t>
        </is>
      </c>
      <c r="D5" s="34" t="inlineStr">
        <is>
          <t>תרגילי ליבה עם התנגדות</t>
        </is>
      </c>
      <c r="E5" s="34" t="inlineStr">
        <is>
          <t>גומיית לולאה</t>
        </is>
      </c>
      <c r="F5" s="33" t="inlineStr">
        <is>
          <t>מתחילים</t>
        </is>
      </c>
      <c r="G5" s="33" t="inlineStr">
        <is>
          <t>חיזוק</t>
        </is>
      </c>
      <c r="H5" s="33" t="inlineStr">
        <is>
          <t>חובה</t>
        </is>
      </c>
      <c r="I5" s="33" t="n">
        <v>2</v>
      </c>
      <c r="J5" s="35" t="n">
        <v>0</v>
      </c>
      <c r="K5" s="33">
        <f>IF(J5=0,"חסר",IF(J5&lt;I5,"בתהליך","הושלם"))</f>
        <v/>
      </c>
      <c r="L5" s="36" t="n"/>
    </row>
    <row r="6" ht="13.5" customHeight="1" s="25">
      <c r="A6" s="33" t="n">
        <v>5</v>
      </c>
      <c r="B6" s="34" t="inlineStr">
        <is>
          <t>בטן וליבה</t>
        </is>
      </c>
      <c r="C6" s="34" t="inlineStr">
        <is>
          <t>רחב בטני, ישר בטני, אלכסוניים</t>
        </is>
      </c>
      <c r="D6" s="34" t="inlineStr">
        <is>
          <t>תרגילי ליבה עם התנגדות</t>
        </is>
      </c>
      <c r="E6" s="34" t="inlineStr">
        <is>
          <t>גומיית לולאה</t>
        </is>
      </c>
      <c r="F6" s="33" t="inlineStr">
        <is>
          <t>בינוני</t>
        </is>
      </c>
      <c r="G6" s="33" t="inlineStr">
        <is>
          <t>חיזוק</t>
        </is>
      </c>
      <c r="H6" s="33" t="inlineStr">
        <is>
          <t>רצוי</t>
        </is>
      </c>
      <c r="I6" s="33" t="n">
        <v>1</v>
      </c>
      <c r="J6" s="35" t="n">
        <v>0</v>
      </c>
      <c r="K6" s="33">
        <f>IF(J6=0,"חסר",IF(J6&lt;I6,"בתהליך","הושלם"))</f>
        <v/>
      </c>
      <c r="L6" s="36" t="n"/>
    </row>
    <row r="7" ht="13.5" customHeight="1" s="25">
      <c r="A7" s="33" t="n">
        <v>6</v>
      </c>
      <c r="B7" s="34" t="inlineStr">
        <is>
          <t>בטן וליבה</t>
        </is>
      </c>
      <c r="C7" s="34" t="inlineStr">
        <is>
          <t>רחב בטני, ישר בטני, אלכסוניים</t>
        </is>
      </c>
      <c r="D7" s="34" t="inlineStr">
        <is>
          <t>תרגילי ליבה עם התנגדות</t>
        </is>
      </c>
      <c r="E7" s="34" t="inlineStr">
        <is>
          <t>גומיית רצועה ארוכה</t>
        </is>
      </c>
      <c r="F7" s="33" t="inlineStr">
        <is>
          <t>מתחילים</t>
        </is>
      </c>
      <c r="G7" s="33" t="inlineStr">
        <is>
          <t>חיזוק</t>
        </is>
      </c>
      <c r="H7" s="33" t="inlineStr">
        <is>
          <t>רצוי</t>
        </is>
      </c>
      <c r="I7" s="33" t="n">
        <v>2</v>
      </c>
      <c r="J7" s="35" t="n">
        <v>0</v>
      </c>
      <c r="K7" s="33">
        <f>IF(J7=0,"חסר",IF(J7&lt;I7,"בתהליך","הושלם"))</f>
        <v/>
      </c>
      <c r="L7" s="36" t="n"/>
    </row>
    <row r="8" ht="13.5" customHeight="1" s="25">
      <c r="A8" s="33" t="n">
        <v>7</v>
      </c>
      <c r="B8" s="34" t="inlineStr">
        <is>
          <t>בטן וליבה</t>
        </is>
      </c>
      <c r="C8" s="34" t="inlineStr">
        <is>
          <t>רחב בטני, ישר בטני, אלכסוניים</t>
        </is>
      </c>
      <c r="D8" s="34" t="inlineStr">
        <is>
          <t>תרגילי ליבה עם אביזר</t>
        </is>
      </c>
      <c r="E8" s="34" t="inlineStr">
        <is>
          <t>טבעת פילאטיס (Ring)</t>
        </is>
      </c>
      <c r="F8" s="33" t="inlineStr">
        <is>
          <t>מתחילים</t>
        </is>
      </c>
      <c r="G8" s="33" t="inlineStr">
        <is>
          <t>חיזוק</t>
        </is>
      </c>
      <c r="H8" s="33" t="inlineStr">
        <is>
          <t>רצוי</t>
        </is>
      </c>
      <c r="I8" s="33" t="n">
        <v>2</v>
      </c>
      <c r="J8" s="35" t="n">
        <v>1</v>
      </c>
      <c r="K8" s="33">
        <f>IF(J8=0,"חסר",IF(J8&lt;I8,"בתהליך","הושלם"))</f>
        <v/>
      </c>
      <c r="L8" s="36" t="n"/>
    </row>
    <row r="9" ht="13.5" customHeight="1" s="25">
      <c r="A9" s="33" t="n">
        <v>8</v>
      </c>
      <c r="B9" s="34" t="inlineStr">
        <is>
          <t>בטן וליבה</t>
        </is>
      </c>
      <c r="C9" s="34" t="inlineStr">
        <is>
          <t>רחב בטני, ישר בטני, אלכסוניים</t>
        </is>
      </c>
      <c r="D9" s="34" t="inlineStr">
        <is>
          <t>תרגילי ליבה עם אביזר</t>
        </is>
      </c>
      <c r="E9" s="34" t="inlineStr">
        <is>
          <t>כדור קטן</t>
        </is>
      </c>
      <c r="F9" s="33" t="inlineStr">
        <is>
          <t>מתחילים</t>
        </is>
      </c>
      <c r="G9" s="33" t="inlineStr">
        <is>
          <t>חיזוק</t>
        </is>
      </c>
      <c r="H9" s="33" t="inlineStr">
        <is>
          <t>אופציונלי</t>
        </is>
      </c>
      <c r="I9" s="33" t="n">
        <v>1</v>
      </c>
      <c r="J9" s="35" t="n">
        <v>0</v>
      </c>
      <c r="K9" s="33">
        <f>IF(J9=0,"חסר",IF(J9&lt;I9,"בתהליך","הושלם"))</f>
        <v/>
      </c>
      <c r="L9" s="36" t="n"/>
    </row>
    <row r="10" ht="13.5" customHeight="1" s="25">
      <c r="A10" s="33" t="n">
        <v>9</v>
      </c>
      <c r="B10" s="34" t="inlineStr">
        <is>
          <t>גב ויציבה</t>
        </is>
      </c>
      <c r="C10" s="34" t="inlineStr">
        <is>
          <t>זוקפי גב, מייצבי עמוד שדרה</t>
        </is>
      </c>
      <c r="D10" s="34" t="inlineStr">
        <is>
          <t>תרגילי יציבה ויישור</t>
        </is>
      </c>
      <c r="E10" s="34" t="inlineStr">
        <is>
          <t>ללא ציוד</t>
        </is>
      </c>
      <c r="F10" s="33" t="inlineStr">
        <is>
          <t>מתחילים</t>
        </is>
      </c>
      <c r="G10" s="33" t="inlineStr">
        <is>
          <t>יציבה ויישור</t>
        </is>
      </c>
      <c r="H10" s="33" t="inlineStr">
        <is>
          <t>חובה</t>
        </is>
      </c>
      <c r="I10" s="33" t="n">
        <v>2</v>
      </c>
      <c r="J10" s="35" t="n">
        <v>2</v>
      </c>
      <c r="K10" s="33">
        <f>IF(J10=0,"חסר",IF(J10&lt;I10,"בתהליך","הושלם"))</f>
        <v/>
      </c>
      <c r="L10" s="36" t="n"/>
    </row>
    <row r="11" ht="13.5" customHeight="1" s="25">
      <c r="A11" s="33" t="n">
        <v>10</v>
      </c>
      <c r="B11" s="34" t="inlineStr">
        <is>
          <t>גב ויציבה</t>
        </is>
      </c>
      <c r="C11" s="34" t="inlineStr">
        <is>
          <t>זוקפי גב, מייצבי עמוד שדרה</t>
        </is>
      </c>
      <c r="D11" s="34" t="inlineStr">
        <is>
          <t>תרגילי יציבה ויישור</t>
        </is>
      </c>
      <c r="E11" s="34" t="inlineStr">
        <is>
          <t>ללא ציוד</t>
        </is>
      </c>
      <c r="F11" s="33" t="inlineStr">
        <is>
          <t>בינוני</t>
        </is>
      </c>
      <c r="G11" s="33" t="inlineStr">
        <is>
          <t>יציבה ויישור</t>
        </is>
      </c>
      <c r="H11" s="33" t="inlineStr">
        <is>
          <t>חובה</t>
        </is>
      </c>
      <c r="I11" s="33" t="n">
        <v>1</v>
      </c>
      <c r="J11" s="35" t="n">
        <v>1</v>
      </c>
      <c r="K11" s="33">
        <f>IF(J11=0,"חסר",IF(J11&lt;I11,"בתהליך","הושלם"))</f>
        <v/>
      </c>
      <c r="L11" s="36" t="n"/>
    </row>
    <row r="12" ht="13.5" customHeight="1" s="25">
      <c r="A12" s="33" t="n">
        <v>11</v>
      </c>
      <c r="B12" s="34" t="inlineStr">
        <is>
          <t>גב ויציבה</t>
        </is>
      </c>
      <c r="C12" s="34" t="inlineStr">
        <is>
          <t>זוקפי גב, מייצבי עמוד שדרה</t>
        </is>
      </c>
      <c r="D12" s="34" t="inlineStr">
        <is>
          <t>תרגילי יציבה ויישור</t>
        </is>
      </c>
      <c r="E12" s="34" t="inlineStr">
        <is>
          <t>גומיית לולאה</t>
        </is>
      </c>
      <c r="F12" s="33" t="inlineStr">
        <is>
          <t>מתחילים</t>
        </is>
      </c>
      <c r="G12" s="33" t="inlineStr">
        <is>
          <t>חיזוק</t>
        </is>
      </c>
      <c r="H12" s="33" t="inlineStr">
        <is>
          <t>רצוי</t>
        </is>
      </c>
      <c r="I12" s="33" t="n">
        <v>2</v>
      </c>
      <c r="J12" s="35" t="n">
        <v>0</v>
      </c>
      <c r="K12" s="33">
        <f>IF(J12=0,"חסר",IF(J12&lt;I12,"בתהליך","הושלם"))</f>
        <v/>
      </c>
      <c r="L12" s="36" t="n"/>
    </row>
    <row r="13" ht="13.5" customHeight="1" s="25">
      <c r="A13" s="33" t="n">
        <v>12</v>
      </c>
      <c r="B13" s="34" t="inlineStr">
        <is>
          <t>גב ויציבה</t>
        </is>
      </c>
      <c r="C13" s="34" t="inlineStr">
        <is>
          <t>זוקפי גב, מייצבי עמוד שדרה</t>
        </is>
      </c>
      <c r="D13" s="34" t="inlineStr">
        <is>
          <t>תרגילי יציבה ויישור</t>
        </is>
      </c>
      <c r="E13" s="34" t="inlineStr">
        <is>
          <t>גומיית רצועה ארוכה</t>
        </is>
      </c>
      <c r="F13" s="33" t="inlineStr">
        <is>
          <t>מתחילים</t>
        </is>
      </c>
      <c r="G13" s="33" t="inlineStr">
        <is>
          <t>גמישות ומתיחה</t>
        </is>
      </c>
      <c r="H13" s="33" t="inlineStr">
        <is>
          <t>רצוי</t>
        </is>
      </c>
      <c r="I13" s="33" t="n">
        <v>2</v>
      </c>
      <c r="J13" s="35" t="n">
        <v>0</v>
      </c>
      <c r="K13" s="33">
        <f>IF(J13=0,"חסר",IF(J13&lt;I13,"בתהליך","הושלם"))</f>
        <v/>
      </c>
      <c r="L13" s="36" t="n"/>
    </row>
    <row r="14" ht="13.5" customHeight="1" s="25">
      <c r="A14" s="33" t="n">
        <v>13</v>
      </c>
      <c r="B14" s="34" t="inlineStr">
        <is>
          <t>גב ויציבה</t>
        </is>
      </c>
      <c r="C14" s="34" t="inlineStr">
        <is>
          <t>זוקפי גב, מייצבי עמוד שדרה</t>
        </is>
      </c>
      <c r="D14" s="34" t="inlineStr">
        <is>
          <t>תרגילי יציבה ויישור</t>
        </is>
      </c>
      <c r="E14" s="34" t="inlineStr">
        <is>
          <t>טבעת פילאטיס (Ring)</t>
        </is>
      </c>
      <c r="F14" s="33" t="inlineStr">
        <is>
          <t>מתחילים</t>
        </is>
      </c>
      <c r="G14" s="33" t="inlineStr">
        <is>
          <t>חיזוק</t>
        </is>
      </c>
      <c r="H14" s="33" t="inlineStr">
        <is>
          <t>אופציונלי</t>
        </is>
      </c>
      <c r="I14" s="33" t="n">
        <v>1</v>
      </c>
      <c r="J14" s="35" t="n">
        <v>0</v>
      </c>
      <c r="K14" s="33">
        <f>IF(J14=0,"חסר",IF(J14&lt;I14,"בתהליך","הושלם"))</f>
        <v/>
      </c>
      <c r="L14" s="36" t="n"/>
    </row>
    <row r="15" ht="26.25" customHeight="1" s="25">
      <c r="A15" s="33" t="n">
        <v>14</v>
      </c>
      <c r="B15" s="34" t="inlineStr">
        <is>
          <t>ישבן ורגליים</t>
        </is>
      </c>
      <c r="C15" s="34" t="inlineStr">
        <is>
          <t>ישבן גדול, מקרבי ירך, מרחיקי ירך; ארבע ראשי, ירך אחורית, שוק</t>
        </is>
      </c>
      <c r="D15" s="34" t="inlineStr">
        <is>
          <t>תרגילי ישבן וירכיים</t>
        </is>
      </c>
      <c r="E15" s="34" t="inlineStr">
        <is>
          <t>ללא ציוד</t>
        </is>
      </c>
      <c r="F15" s="33" t="inlineStr">
        <is>
          <t>מתחילים</t>
        </is>
      </c>
      <c r="G15" s="33" t="inlineStr">
        <is>
          <t>חיזוק</t>
        </is>
      </c>
      <c r="H15" s="33" t="inlineStr">
        <is>
          <t>חובה</t>
        </is>
      </c>
      <c r="I15" s="33" t="n">
        <v>4</v>
      </c>
      <c r="J15" s="35" t="n">
        <v>4</v>
      </c>
      <c r="K15" s="33">
        <f>IF(J15=0,"חסר",IF(J15&lt;I15,"בתהליך","הושלם"))</f>
        <v/>
      </c>
      <c r="L15" s="36" t="inlineStr">
        <is>
          <t>[מוזג ע"י Claude, 29.08.2026: מוזג עם שורה שהייתה 'רגליים' לפני איחוד הטקסונומיה - יעד ונמצאו סוכמו (2+2=4, 0+0=0).]</t>
        </is>
      </c>
    </row>
    <row r="16" ht="26.25" customHeight="1" s="25">
      <c r="A16" s="33" t="n">
        <v>15</v>
      </c>
      <c r="B16" s="34" t="inlineStr">
        <is>
          <t>ישבן ורגליים</t>
        </is>
      </c>
      <c r="C16" s="34" t="inlineStr">
        <is>
          <t>ישבן גדול, מקרבי ירך, מרחיקי ירך</t>
        </is>
      </c>
      <c r="D16" s="34" t="inlineStr">
        <is>
          <t>תרגילי ישבן וירכיים</t>
        </is>
      </c>
      <c r="E16" s="34" t="inlineStr">
        <is>
          <t>ללא ציוד</t>
        </is>
      </c>
      <c r="F16" s="33" t="inlineStr">
        <is>
          <t>בינוני</t>
        </is>
      </c>
      <c r="G16" s="33" t="inlineStr">
        <is>
          <t>חיזוק</t>
        </is>
      </c>
      <c r="H16" s="33" t="inlineStr">
        <is>
          <t>חובה</t>
        </is>
      </c>
      <c r="I16" s="33" t="n">
        <v>1</v>
      </c>
      <c r="J16" s="35" t="n">
        <v>1</v>
      </c>
      <c r="K16" s="33">
        <f>IF(J16=0,"חסר",IF(J16&lt;I16,"בתהליך","הושלם"))</f>
        <v/>
      </c>
      <c r="L16" s="36" t="n"/>
    </row>
    <row r="17" ht="26.25" customHeight="1" s="25">
      <c r="A17" s="33" t="n">
        <v>16</v>
      </c>
      <c r="B17" s="34" t="inlineStr">
        <is>
          <t>ישבן ורגליים</t>
        </is>
      </c>
      <c r="C17" s="34" t="inlineStr">
        <is>
          <t>ישבן גדול, מקרבי ירך, מרחיקי ירך; ארבע ראשי, ירך אחורית, שוק</t>
        </is>
      </c>
      <c r="D17" s="34" t="inlineStr">
        <is>
          <t>תרגילי ישבן וירכיים</t>
        </is>
      </c>
      <c r="E17" s="34" t="inlineStr">
        <is>
          <t>גומיית לולאה</t>
        </is>
      </c>
      <c r="F17" s="33" t="inlineStr">
        <is>
          <t>מתחילים</t>
        </is>
      </c>
      <c r="G17" s="33" t="inlineStr">
        <is>
          <t>חיזוק</t>
        </is>
      </c>
      <c r="H17" s="33" t="inlineStr">
        <is>
          <t>חובה</t>
        </is>
      </c>
      <c r="I17" s="33" t="n">
        <v>4</v>
      </c>
      <c r="J17" s="35" t="n">
        <v>4</v>
      </c>
      <c r="K17" s="33">
        <f>IF(J17=0,"חסר",IF(J17&lt;I17,"בתהליך","הושלם"))</f>
        <v/>
      </c>
      <c r="L17" s="36" t="inlineStr">
        <is>
          <t>[מוזג ע"י Claude, 29.08.2026: מוזג עם שורה שהייתה 'רגליים' לפני איחוד הטקסונומיה - יעד ונמצאו סוכמו (2+2=4, 2+1=3).]</t>
        </is>
      </c>
    </row>
    <row r="18" ht="26.25" customHeight="1" s="25">
      <c r="A18" s="33" t="n">
        <v>17</v>
      </c>
      <c r="B18" s="34" t="inlineStr">
        <is>
          <t>ישבן ורגליים</t>
        </is>
      </c>
      <c r="C18" s="34" t="inlineStr">
        <is>
          <t>ישבן גדול, מקרבי ירך, מרחיקי ירך</t>
        </is>
      </c>
      <c r="D18" s="34" t="inlineStr">
        <is>
          <t>תרגילי ישבן וירכיים</t>
        </is>
      </c>
      <c r="E18" s="34" t="inlineStr">
        <is>
          <t>גומיית לולאה</t>
        </is>
      </c>
      <c r="F18" s="33" t="inlineStr">
        <is>
          <t>בינוני</t>
        </is>
      </c>
      <c r="G18" s="33" t="inlineStr">
        <is>
          <t>חיזוק</t>
        </is>
      </c>
      <c r="H18" s="33" t="inlineStr">
        <is>
          <t>רצוי</t>
        </is>
      </c>
      <c r="I18" s="33" t="n">
        <v>1</v>
      </c>
      <c r="J18" s="35" t="n">
        <v>1</v>
      </c>
      <c r="K18" s="33">
        <f>IF(J18=0,"חסר",IF(J18&lt;I18,"בתהליך","הושלם"))</f>
        <v/>
      </c>
      <c r="L18" s="36" t="n"/>
    </row>
    <row r="19" ht="26.25" customHeight="1" s="25">
      <c r="A19" s="33" t="n">
        <v>18</v>
      </c>
      <c r="B19" s="34" t="inlineStr">
        <is>
          <t>ישבן ורגליים</t>
        </is>
      </c>
      <c r="C19" s="34" t="inlineStr">
        <is>
          <t>ישבן גדול, מקרבי ירך, מרחיקי ירך</t>
        </is>
      </c>
      <c r="D19" s="34" t="inlineStr">
        <is>
          <t>תרגילי ישבן וירכיים</t>
        </is>
      </c>
      <c r="E19" s="34" t="inlineStr">
        <is>
          <t>גומיית רצועה ארוכה</t>
        </is>
      </c>
      <c r="F19" s="33" t="inlineStr">
        <is>
          <t>מתחילים</t>
        </is>
      </c>
      <c r="G19" s="33" t="inlineStr">
        <is>
          <t>חיזוק</t>
        </is>
      </c>
      <c r="H19" s="33" t="inlineStr">
        <is>
          <t>רצוי</t>
        </is>
      </c>
      <c r="I19" s="33" t="n">
        <v>2</v>
      </c>
      <c r="J19" s="35" t="n">
        <v>0</v>
      </c>
      <c r="K19" s="33">
        <f>IF(J19=0,"חסר",IF(J19&lt;I19,"בתהליך","הושלם"))</f>
        <v/>
      </c>
      <c r="L19" s="36" t="n"/>
    </row>
    <row r="20" ht="26.25" customHeight="1" s="25">
      <c r="A20" s="33" t="n">
        <v>19</v>
      </c>
      <c r="B20" s="34" t="inlineStr">
        <is>
          <t>ישבן ורגליים</t>
        </is>
      </c>
      <c r="C20" s="34" t="inlineStr">
        <is>
          <t>ישבן גדול, מקרבי ירך, מרחיקי ירך; ארבע ראשי, ירך אחורית, שוק</t>
        </is>
      </c>
      <c r="D20" s="34" t="inlineStr">
        <is>
          <t>תרגילי ישבן וירכיים</t>
        </is>
      </c>
      <c r="E20" s="34" t="inlineStr">
        <is>
          <t>טבעת פילאטיס (Ring)</t>
        </is>
      </c>
      <c r="F20" s="33" t="inlineStr">
        <is>
          <t>מתחילים</t>
        </is>
      </c>
      <c r="G20" s="33" t="inlineStr">
        <is>
          <t>חיזוק</t>
        </is>
      </c>
      <c r="H20" s="33" t="inlineStr">
        <is>
          <t>רצוי</t>
        </is>
      </c>
      <c r="I20" s="33" t="n">
        <v>3</v>
      </c>
      <c r="J20" s="35" t="n">
        <v>4</v>
      </c>
      <c r="K20" s="33">
        <f>IF(J20=0,"חסר",IF(J20&lt;I20,"בתהליך","הושלם"))</f>
        <v/>
      </c>
      <c r="L20" s="36" t="inlineStr">
        <is>
          <t>[מוזג ע"י Claude, 29.08.2026: מוזג עם שורה שהייתה 'רגליים' לפני איחוד הטקסונומיה - יעד ונמצאו סוכמו (2+1=3, 2+2=4).]</t>
        </is>
      </c>
    </row>
    <row r="21" ht="26.25" customHeight="1" s="25">
      <c r="A21" s="33" t="n">
        <v>20</v>
      </c>
      <c r="B21" s="34" t="inlineStr">
        <is>
          <t>ישבן ורגליים</t>
        </is>
      </c>
      <c r="C21" s="34" t="inlineStr">
        <is>
          <t>ישבן גדול, מקרבי ירך, מרחיקי ירך</t>
        </is>
      </c>
      <c r="D21" s="34" t="inlineStr">
        <is>
          <t>תרגילי ישבן וירכיים</t>
        </is>
      </c>
      <c r="E21" s="34" t="inlineStr">
        <is>
          <t>כדור קטן</t>
        </is>
      </c>
      <c r="F21" s="33" t="inlineStr">
        <is>
          <t>מתחילים</t>
        </is>
      </c>
      <c r="G21" s="33" t="inlineStr">
        <is>
          <t>חיזוק</t>
        </is>
      </c>
      <c r="H21" s="33" t="inlineStr">
        <is>
          <t>אופציונלי</t>
        </is>
      </c>
      <c r="I21" s="33" t="n">
        <v>1</v>
      </c>
      <c r="J21" s="35" t="n">
        <v>0</v>
      </c>
      <c r="K21" s="33">
        <f>IF(J21=0,"חסר",IF(J21&lt;I21,"בתהליך","הושלם"))</f>
        <v/>
      </c>
      <c r="L21" s="36" t="n"/>
    </row>
    <row r="22" ht="13.5" customHeight="1" s="25">
      <c r="A22" s="33" t="n">
        <v>21</v>
      </c>
      <c r="B22" s="34" t="inlineStr">
        <is>
          <t>ישבן ורגליים</t>
        </is>
      </c>
      <c r="C22" s="34" t="inlineStr">
        <is>
          <t>ארבע ראשי, ירך אחורית, שוק</t>
        </is>
      </c>
      <c r="D22" s="34" t="inlineStr">
        <is>
          <t>תרגילי רגליים</t>
        </is>
      </c>
      <c r="E22" s="34" t="inlineStr">
        <is>
          <t>גומיית רצועה ארוכה</t>
        </is>
      </c>
      <c r="F22" s="33" t="inlineStr">
        <is>
          <t>מתחילים</t>
        </is>
      </c>
      <c r="G22" s="33" t="inlineStr">
        <is>
          <t>גמישות ומתיחה</t>
        </is>
      </c>
      <c r="H22" s="33" t="inlineStr">
        <is>
          <t>רצוי</t>
        </is>
      </c>
      <c r="I22" s="33" t="n">
        <v>2</v>
      </c>
      <c r="J22" s="35" t="n">
        <v>0</v>
      </c>
      <c r="K22" s="33">
        <f>IF(J24=0,"חסר",IF(J24&lt;I24,"בתהליך","הושלם"))</f>
        <v/>
      </c>
      <c r="L22" s="36" t="n"/>
    </row>
    <row r="23" ht="13.5" customHeight="1" s="25">
      <c r="A23" s="33" t="n">
        <v>22</v>
      </c>
      <c r="B23" s="34" t="inlineStr">
        <is>
          <t>כתפיים וזרועות</t>
        </is>
      </c>
      <c r="C23" s="34" t="inlineStr">
        <is>
          <t>דלתא, טריצפס, ביצפס</t>
        </is>
      </c>
      <c r="D23" s="34" t="inlineStr">
        <is>
          <t>תרגילי כתפיים וזרועות</t>
        </is>
      </c>
      <c r="E23" s="34" t="inlineStr">
        <is>
          <t>ללא ציוד</t>
        </is>
      </c>
      <c r="F23" s="33" t="inlineStr">
        <is>
          <t>מתחילים</t>
        </is>
      </c>
      <c r="G23" s="33" t="inlineStr">
        <is>
          <t>חיזוק</t>
        </is>
      </c>
      <c r="H23" s="33" t="inlineStr">
        <is>
          <t>חובה</t>
        </is>
      </c>
      <c r="I23" s="33" t="n">
        <v>2</v>
      </c>
      <c r="J23" s="35" t="n">
        <v>2</v>
      </c>
      <c r="K23" s="33">
        <f>IF(J26=0,"חסר",IF(J26&lt;I26,"בתהליך","הושלם"))</f>
        <v/>
      </c>
      <c r="L23" s="36" t="n"/>
    </row>
    <row r="24" ht="13.5" customHeight="1" s="25">
      <c r="A24" s="33" t="n">
        <v>23</v>
      </c>
      <c r="B24" s="34" t="inlineStr">
        <is>
          <t>כתפיים וזרועות</t>
        </is>
      </c>
      <c r="C24" s="34" t="inlineStr">
        <is>
          <t>דלתא, טריצפס, ביצפס</t>
        </is>
      </c>
      <c r="D24" s="34" t="inlineStr">
        <is>
          <t>תרגילי כתפיים וזרועות</t>
        </is>
      </c>
      <c r="E24" s="34" t="inlineStr">
        <is>
          <t>ללא ציוד</t>
        </is>
      </c>
      <c r="F24" s="33" t="inlineStr">
        <is>
          <t>בינוני</t>
        </is>
      </c>
      <c r="G24" s="33" t="inlineStr">
        <is>
          <t>חיזוק</t>
        </is>
      </c>
      <c r="H24" s="33" t="inlineStr">
        <is>
          <t>רצוי</t>
        </is>
      </c>
      <c r="I24" s="33" t="n">
        <v>1</v>
      </c>
      <c r="J24" s="35" t="n">
        <v>1</v>
      </c>
      <c r="K24" s="33">
        <f>IF(J27=0,"חסר",IF(J27&lt;I27,"בתהליך","הושלם"))</f>
        <v/>
      </c>
      <c r="L24" s="36" t="n"/>
    </row>
    <row r="25" ht="13.5" customHeight="1" s="25">
      <c r="A25" s="33" t="n">
        <v>24</v>
      </c>
      <c r="B25" s="34" t="inlineStr">
        <is>
          <t>כתפיים וזרועות</t>
        </is>
      </c>
      <c r="C25" s="34" t="inlineStr">
        <is>
          <t>דלתא, טריצפס, ביצפס</t>
        </is>
      </c>
      <c r="D25" s="34" t="inlineStr">
        <is>
          <t>תרגילי כתפיים וזרועות</t>
        </is>
      </c>
      <c r="E25" s="34" t="inlineStr">
        <is>
          <t>גומיית לולאה</t>
        </is>
      </c>
      <c r="F25" s="33" t="inlineStr">
        <is>
          <t>מתחילים</t>
        </is>
      </c>
      <c r="G25" s="33" t="inlineStr">
        <is>
          <t>חיזוק</t>
        </is>
      </c>
      <c r="H25" s="33" t="inlineStr">
        <is>
          <t>רצוי</t>
        </is>
      </c>
      <c r="I25" s="33" t="n">
        <v>2</v>
      </c>
      <c r="J25" s="35" t="n">
        <v>0</v>
      </c>
      <c r="K25" s="33">
        <f>IF(J28=0,"חסר",IF(J28&lt;I28,"בתהליך","הושלם"))</f>
        <v/>
      </c>
      <c r="L25" s="36" t="n"/>
    </row>
    <row r="26" ht="13.5" customHeight="1" s="25">
      <c r="A26" s="33" t="n">
        <v>25</v>
      </c>
      <c r="B26" s="34" t="inlineStr">
        <is>
          <t>כתפיים וזרועות</t>
        </is>
      </c>
      <c r="C26" s="34" t="inlineStr">
        <is>
          <t>דלתא, טריצפס, ביצפס</t>
        </is>
      </c>
      <c r="D26" s="34" t="inlineStr">
        <is>
          <t>תרגילי כתפיים וזרועות</t>
        </is>
      </c>
      <c r="E26" s="34" t="inlineStr">
        <is>
          <t>גומיית רצועה ארוכה</t>
        </is>
      </c>
      <c r="F26" s="33" t="inlineStr">
        <is>
          <t>מתחילים</t>
        </is>
      </c>
      <c r="G26" s="33" t="inlineStr">
        <is>
          <t>חיזוק</t>
        </is>
      </c>
      <c r="H26" s="33" t="inlineStr">
        <is>
          <t>רצוי</t>
        </is>
      </c>
      <c r="I26" s="33" t="n">
        <v>2</v>
      </c>
      <c r="J26" s="35" t="n">
        <v>0</v>
      </c>
      <c r="K26" s="33">
        <f>IF(J29=0,"חסר",IF(J29&lt;I29,"בתהליך","הושלם"))</f>
        <v/>
      </c>
      <c r="L26" s="36" t="n"/>
    </row>
    <row r="27" ht="13.5" customHeight="1" s="25">
      <c r="A27" s="33" t="n">
        <v>26</v>
      </c>
      <c r="B27" s="34" t="inlineStr">
        <is>
          <t>כתפיים וזרועות</t>
        </is>
      </c>
      <c r="C27" s="34" t="inlineStr">
        <is>
          <t>דלתא, טריצפס, ביצפס</t>
        </is>
      </c>
      <c r="D27" s="34" t="inlineStr">
        <is>
          <t>תרגילי כתפיים וזרועות</t>
        </is>
      </c>
      <c r="E27" s="34" t="inlineStr">
        <is>
          <t>טבעת פילאטיס (Ring)</t>
        </is>
      </c>
      <c r="F27" s="33" t="inlineStr">
        <is>
          <t>מתחילים</t>
        </is>
      </c>
      <c r="G27" s="33" t="inlineStr">
        <is>
          <t>חיזוק</t>
        </is>
      </c>
      <c r="H27" s="33" t="inlineStr">
        <is>
          <t>אופציונלי</t>
        </is>
      </c>
      <c r="I27" s="33" t="n">
        <v>1</v>
      </c>
      <c r="J27" s="35" t="n">
        <v>0</v>
      </c>
      <c r="K27" s="33">
        <f>IF(J30=0,"חסר",IF(J30&lt;I30,"בתהליך","הושלם"))</f>
        <v/>
      </c>
      <c r="L27" s="36" t="n"/>
    </row>
    <row r="28" ht="13.5" customHeight="1" s="25">
      <c r="A28" s="33" t="n">
        <v>27</v>
      </c>
      <c r="B28" s="34" t="inlineStr">
        <is>
          <t>גוף מלא</t>
        </is>
      </c>
      <c r="C28" s="34" t="inlineStr">
        <is>
          <t>שרירים מרובים</t>
        </is>
      </c>
      <c r="D28" s="34" t="inlineStr">
        <is>
          <t>תרגילי שילוב</t>
        </is>
      </c>
      <c r="E28" s="34" t="inlineStr">
        <is>
          <t>ללא ציוד</t>
        </is>
      </c>
      <c r="F28" s="33" t="inlineStr">
        <is>
          <t>מתחילים</t>
        </is>
      </c>
      <c r="G28" s="33" t="inlineStr">
        <is>
          <t>חיזוק</t>
        </is>
      </c>
      <c r="H28" s="33" t="inlineStr">
        <is>
          <t>חובה</t>
        </is>
      </c>
      <c r="I28" s="33" t="n">
        <v>2</v>
      </c>
      <c r="J28" s="35" t="n">
        <v>2</v>
      </c>
      <c r="K28" s="33">
        <f>IF(J31=0,"חסר",IF(J31&lt;I31,"בתהליך","הושלם"))</f>
        <v/>
      </c>
      <c r="L28" s="36" t="n"/>
    </row>
    <row r="29" ht="13.5" customHeight="1" s="25">
      <c r="A29" s="33" t="n">
        <v>28</v>
      </c>
      <c r="B29" s="34" t="inlineStr">
        <is>
          <t>גוף מלא</t>
        </is>
      </c>
      <c r="C29" s="34" t="inlineStr">
        <is>
          <t>שרירים מרובים</t>
        </is>
      </c>
      <c r="D29" s="34" t="inlineStr">
        <is>
          <t>תרגילי שילוב</t>
        </is>
      </c>
      <c r="E29" s="34" t="inlineStr">
        <is>
          <t>גומיית לולאה</t>
        </is>
      </c>
      <c r="F29" s="33" t="inlineStr">
        <is>
          <t>מתחילים</t>
        </is>
      </c>
      <c r="G29" s="33" t="inlineStr">
        <is>
          <t>חיזוק</t>
        </is>
      </c>
      <c r="H29" s="33" t="inlineStr">
        <is>
          <t>רצוי</t>
        </is>
      </c>
      <c r="I29" s="33" t="n">
        <v>2</v>
      </c>
      <c r="J29" s="35" t="n">
        <v>0</v>
      </c>
      <c r="K29" s="33">
        <f>IF(J32=0,"חסר",IF(J32&lt;I32,"בתהליך","הושלם"))</f>
        <v/>
      </c>
      <c r="L29" s="36" t="n"/>
    </row>
    <row r="30" ht="13.5" customHeight="1" s="25">
      <c r="A30" s="33" t="n">
        <v>29</v>
      </c>
      <c r="B30" s="34" t="inlineStr">
        <is>
          <t>גוף מלא</t>
        </is>
      </c>
      <c r="C30" s="34" t="inlineStr">
        <is>
          <t>שרירים מרובים</t>
        </is>
      </c>
      <c r="D30" s="34" t="inlineStr">
        <is>
          <t>תרגילי שילוב</t>
        </is>
      </c>
      <c r="E30" s="34" t="inlineStr">
        <is>
          <t>גומיית רצועה ארוכה</t>
        </is>
      </c>
      <c r="F30" s="33" t="inlineStr">
        <is>
          <t>מתחילים</t>
        </is>
      </c>
      <c r="G30" s="33" t="inlineStr">
        <is>
          <t>חיזוק</t>
        </is>
      </c>
      <c r="H30" s="33" t="inlineStr">
        <is>
          <t>רצוי</t>
        </is>
      </c>
      <c r="I30" s="33" t="n">
        <v>2</v>
      </c>
      <c r="J30" s="35" t="n">
        <v>0</v>
      </c>
      <c r="K30" s="33">
        <f>IF(J33=0,"חסר",IF(J33&lt;I33,"בתהליך","הושלם"))</f>
        <v/>
      </c>
      <c r="L30" s="36" t="n"/>
    </row>
    <row r="31" ht="13.5" customHeight="1" s="25">
      <c r="A31" s="33" t="n">
        <v>30</v>
      </c>
      <c r="B31" s="34" t="inlineStr">
        <is>
          <t>גוף מלא</t>
        </is>
      </c>
      <c r="C31" s="34" t="inlineStr">
        <is>
          <t>שרירים מרובים</t>
        </is>
      </c>
      <c r="D31" s="34" t="inlineStr">
        <is>
          <t>תרגילי שילוב</t>
        </is>
      </c>
      <c r="E31" s="34" t="inlineStr">
        <is>
          <t>טבעת פילאטיס (Ring)</t>
        </is>
      </c>
      <c r="F31" s="33" t="inlineStr">
        <is>
          <t>מתחילים</t>
        </is>
      </c>
      <c r="G31" s="33" t="inlineStr">
        <is>
          <t>חיזוק</t>
        </is>
      </c>
      <c r="H31" s="33" t="inlineStr">
        <is>
          <t>אופציונלי</t>
        </is>
      </c>
      <c r="I31" s="33" t="n">
        <v>1</v>
      </c>
      <c r="J31" s="35" t="n">
        <v>0</v>
      </c>
      <c r="K31" s="33">
        <f>IF(J34=0,"חסר",IF(J34&lt;I34,"בתהליך","הושלם"))</f>
        <v/>
      </c>
      <c r="L31" s="36" t="n"/>
    </row>
    <row r="32" ht="13.5" customHeight="1" s="25">
      <c r="B32" s="37" t="inlineStr">
        <is>
          <t>סה"כ</t>
        </is>
      </c>
      <c r="I32" s="37">
        <f>SUM(I2:I31)</f>
        <v/>
      </c>
      <c r="J32" s="37">
        <f>SUM(J2:J31)</f>
        <v/>
      </c>
    </row>
    <row r="33" ht="13.5" customHeight="1" s="25"/>
    <row r="34" ht="13.5" customHeight="1" s="25"/>
    <row r="35" ht="13.5" customHeight="1" s="25"/>
  </sheetData>
  <conditionalFormatting sqref="K2:K34">
    <cfRule type="cellIs" rank="0" priority="2" equalAverage="0" operator="equal" aboveAverage="0" dxfId="0" text="" percent="0" bottom="0">
      <formula>"חסר"</formula>
    </cfRule>
    <cfRule type="cellIs" rank="0" priority="3" equalAverage="0" operator="equal" aboveAverage="0" dxfId="1" text="" percent="0" bottom="0">
      <formula>"בתהליך"</formula>
    </cfRule>
    <cfRule type="cellIs" rank="0" priority="4" equalAverage="0" operator="equal" aboveAverage="0" dxfId="2" text="" percent="0" bottom="0">
      <formula>"הושלם"</formula>
    </cfRule>
  </conditionalFormatting>
  <dataValidations count="2">
    <dataValidation sqref="H2:H31" showDropDown="0" showInputMessage="0" showErrorMessage="0" allowBlank="1" type="list" errorStyle="stop" operator="between">
      <formula1>"חובה,רצוי,אופציונלי"</formula1>
      <formula2>0</formula2>
    </dataValidation>
    <dataValidation sqref="F2:F31" showDropDown="0" showInputMessage="0" showErrorMessage="0" allowBlank="1" type="list" errorStyle="stop" operator="between">
      <formula1>"מתחילים,בינוני,מתקדם"</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0AD47"/>
    <outlinePr summaryBelow="1" summaryRight="1"/>
    <pageSetUpPr fitToPage="0"/>
  </sheetPr>
  <dimension ref="A1:K23"/>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6" customWidth="1" style="24" min="1" max="1"/>
    <col width="26" customWidth="1" style="24" min="2" max="2"/>
    <col width="12" customWidth="1" style="24" min="3" max="3"/>
    <col width="20" customWidth="1" style="24" min="4" max="4"/>
    <col width="7" customWidth="1" style="24" min="5" max="5"/>
    <col width="9" customWidth="1" style="24" min="6" max="6"/>
    <col width="10" customWidth="1" style="24" min="7" max="7"/>
    <col width="34" customWidth="1" style="24" min="8" max="8"/>
  </cols>
  <sheetData>
    <row r="1" ht="13.5" customHeight="1" s="25">
      <c r="A1" s="32" t="inlineStr">
        <is>
          <t>מזהה</t>
        </is>
      </c>
      <c r="B1" s="32" t="inlineStr">
        <is>
          <t>מטרת השיעור</t>
        </is>
      </c>
      <c r="C1" s="32" t="inlineStr">
        <is>
          <t>רמת קושי</t>
        </is>
      </c>
      <c r="D1" s="32" t="inlineStr">
        <is>
          <t>ציוד עיקרי</t>
        </is>
      </c>
      <c r="E1" s="32" t="inlineStr">
        <is>
          <t>יעד</t>
        </is>
      </c>
      <c r="F1" s="32" t="inlineStr">
        <is>
          <t>נמצאו</t>
        </is>
      </c>
      <c r="G1" s="32" t="inlineStr">
        <is>
          <t>סטטוס</t>
        </is>
      </c>
      <c r="H1" s="32" t="inlineStr">
        <is>
          <t>הערות</t>
        </is>
      </c>
      <c r="I1" s="38" t="n"/>
      <c r="J1" s="38" t="n"/>
      <c r="K1" s="38" t="n"/>
    </row>
    <row r="2" ht="13.5" customHeight="1" s="25">
      <c r="A2" s="33" t="n">
        <v>1</v>
      </c>
      <c r="B2" s="34" t="inlineStr">
        <is>
          <t>פילאטיס בסיסי למתחילים</t>
        </is>
      </c>
      <c r="C2" s="34" t="inlineStr">
        <is>
          <t>מתחילים</t>
        </is>
      </c>
      <c r="D2" s="34" t="inlineStr">
        <is>
          <t>ללא ציוד</t>
        </is>
      </c>
      <c r="E2" s="33" t="n">
        <v>2</v>
      </c>
      <c r="F2" s="35" t="n">
        <v>4</v>
      </c>
      <c r="G2" s="33">
        <f>IF(F2=0,"חסר",IF(F2&lt;E2,"בתהליך","הושלם"))</f>
        <v/>
      </c>
      <c r="H2" s="36" t="n"/>
    </row>
    <row r="3" ht="13.5" customHeight="1" s="25">
      <c r="A3" s="33" t="n">
        <v>2</v>
      </c>
      <c r="B3" s="34" t="inlineStr">
        <is>
          <t>פילאטיס בסיסי למתחילים</t>
        </is>
      </c>
      <c r="C3" s="34" t="inlineStr">
        <is>
          <t>מתחילים</t>
        </is>
      </c>
      <c r="D3" s="34" t="inlineStr">
        <is>
          <t>גומיית לולאה</t>
        </is>
      </c>
      <c r="E3" s="33" t="n">
        <v>1</v>
      </c>
      <c r="F3" s="35" t="n">
        <v>1</v>
      </c>
      <c r="G3" s="33">
        <f>IF(F3=0,"חסר",IF(F3&lt;E3,"בתהליך","הושלם"))</f>
        <v/>
      </c>
      <c r="H3" s="36" t="n"/>
    </row>
    <row r="4" ht="13.5" customHeight="1" s="25">
      <c r="A4" s="33" t="n">
        <v>3</v>
      </c>
      <c r="B4" s="34" t="inlineStr">
        <is>
          <t>חיזוק ליבה וגוף מלא</t>
        </is>
      </c>
      <c r="C4" s="34" t="inlineStr">
        <is>
          <t>בינוני</t>
        </is>
      </c>
      <c r="D4" s="34" t="inlineStr">
        <is>
          <t>ללא ציוד</t>
        </is>
      </c>
      <c r="E4" s="33" t="n">
        <v>1</v>
      </c>
      <c r="F4" s="35" t="n">
        <v>1</v>
      </c>
      <c r="G4" s="33">
        <f>IF(F4=0,"חסר",IF(F4&lt;E4,"בתהליך","הושלם"))</f>
        <v/>
      </c>
      <c r="H4" s="36" t="n"/>
    </row>
    <row r="5" ht="13.5" customHeight="1" s="25">
      <c r="A5" s="33" t="n">
        <v>4</v>
      </c>
      <c r="B5" s="34" t="inlineStr">
        <is>
          <t>חיזוק ליבה וגוף מלא</t>
        </is>
      </c>
      <c r="C5" s="34" t="inlineStr">
        <is>
          <t>בינוני</t>
        </is>
      </c>
      <c r="D5" s="34" t="inlineStr">
        <is>
          <t>גומיית לולאה</t>
        </is>
      </c>
      <c r="E5" s="33" t="n">
        <v>1</v>
      </c>
      <c r="F5" s="35" t="n">
        <v>1</v>
      </c>
      <c r="G5" s="33">
        <f>IF(F5=0,"חסר",IF(F5&lt;E5,"בתהליך","הושלם"))</f>
        <v/>
      </c>
      <c r="H5" s="36" t="n"/>
    </row>
    <row r="6" ht="13.5" customHeight="1" s="25">
      <c r="A6" s="33" t="n">
        <v>5</v>
      </c>
      <c r="B6" s="34" t="inlineStr">
        <is>
          <t>חיזוק מתקדם</t>
        </is>
      </c>
      <c r="C6" s="34" t="inlineStr">
        <is>
          <t>מתקדם</t>
        </is>
      </c>
      <c r="D6" s="34" t="inlineStr">
        <is>
          <t>גומיית לולאה</t>
        </is>
      </c>
      <c r="E6" s="33" t="n">
        <v>1</v>
      </c>
      <c r="F6" s="35" t="n">
        <v>0</v>
      </c>
      <c r="G6" s="33">
        <f>IF(F6=0,"חסר",IF(F6&lt;E6,"בתהליך","הושלם"))</f>
        <v/>
      </c>
      <c r="H6" s="36" t="n"/>
    </row>
    <row r="7" ht="13.5" customHeight="1" s="25">
      <c r="A7" s="33" t="n">
        <v>6</v>
      </c>
      <c r="B7" s="34" t="inlineStr">
        <is>
          <t>גמישות ומתיחות</t>
        </is>
      </c>
      <c r="C7" s="34" t="inlineStr">
        <is>
          <t>מתחילים</t>
        </is>
      </c>
      <c r="D7" s="34" t="inlineStr">
        <is>
          <t>ללא ציוד</t>
        </is>
      </c>
      <c r="E7" s="33" t="n">
        <v>1</v>
      </c>
      <c r="F7" s="35" t="n">
        <v>2</v>
      </c>
      <c r="G7" s="33">
        <f>IF(F7=0,"חסר",IF(F7&lt;E7,"בתהליך","הושלם"))</f>
        <v/>
      </c>
      <c r="H7" s="36" t="n"/>
    </row>
    <row r="8" ht="13.5" customHeight="1" s="25">
      <c r="A8" s="33" t="n">
        <v>7</v>
      </c>
      <c r="B8" s="34" t="inlineStr">
        <is>
          <t>גמישות ומתיחות</t>
        </is>
      </c>
      <c r="C8" s="34" t="inlineStr">
        <is>
          <t>מתחילים</t>
        </is>
      </c>
      <c r="D8" s="34" t="inlineStr">
        <is>
          <t>גומיית רצועה ארוכה</t>
        </is>
      </c>
      <c r="E8" s="33" t="n">
        <v>1</v>
      </c>
      <c r="F8" s="35" t="n">
        <v>0</v>
      </c>
      <c r="G8" s="33">
        <f>IF(F8=0,"חסר",IF(F8&lt;E8,"בתהליך","הושלם"))</f>
        <v/>
      </c>
      <c r="H8" s="36" t="n"/>
    </row>
    <row r="9" ht="13.5" customHeight="1" s="25">
      <c r="A9" s="33" t="n">
        <v>8</v>
      </c>
      <c r="B9" s="34" t="inlineStr">
        <is>
          <t>גמישות ומתיחות</t>
        </is>
      </c>
      <c r="C9" s="34" t="inlineStr">
        <is>
          <t>בינוני</t>
        </is>
      </c>
      <c r="D9" s="34" t="inlineStr">
        <is>
          <t>ללא ציוד</t>
        </is>
      </c>
      <c r="E9" s="33" t="n">
        <v>1</v>
      </c>
      <c r="F9" s="35" t="n">
        <v>1</v>
      </c>
      <c r="G9" s="33">
        <f>IF(F9=0,"חסר",IF(F9&lt;E9,"בתהליך","הושלם"))</f>
        <v/>
      </c>
      <c r="H9" s="36" t="n"/>
    </row>
    <row r="10" ht="13.5" customHeight="1" s="25">
      <c r="A10" s="33" t="n">
        <v>9</v>
      </c>
      <c r="B10" s="34" t="inlineStr">
        <is>
          <t>גמישות ומתיחות</t>
        </is>
      </c>
      <c r="C10" s="34" t="inlineStr">
        <is>
          <t>מתקדם</t>
        </is>
      </c>
      <c r="D10" s="34" t="inlineStr">
        <is>
          <t>ללא ציוד</t>
        </is>
      </c>
      <c r="E10" s="33" t="n">
        <v>1</v>
      </c>
      <c r="F10" s="35" t="n">
        <v>1</v>
      </c>
      <c r="G10" s="33">
        <f>IF(F10=0,"חסר",IF(F10&lt;E10,"בתהליך","הושלם"))</f>
        <v/>
      </c>
      <c r="H10" s="36" t="n"/>
    </row>
    <row r="11" ht="13.5" customHeight="1" s="25">
      <c r="A11" s="33" t="n">
        <v>10</v>
      </c>
      <c r="B11" s="34" t="inlineStr">
        <is>
          <t>יציבה ויישור גוף</t>
        </is>
      </c>
      <c r="C11" s="34" t="inlineStr">
        <is>
          <t>מתחילים</t>
        </is>
      </c>
      <c r="D11" s="34" t="inlineStr">
        <is>
          <t>ללא ציוד</t>
        </is>
      </c>
      <c r="E11" s="33" t="n">
        <v>2</v>
      </c>
      <c r="F11" s="35" t="n">
        <v>1</v>
      </c>
      <c r="G11" s="33">
        <f>IF(F11=0,"חסר",IF(F11&lt;E11,"בתהליך","הושלם"))</f>
        <v/>
      </c>
      <c r="H11" s="36" t="n"/>
    </row>
    <row r="12" ht="13.5" customHeight="1" s="25">
      <c r="A12" s="33" t="n">
        <v>11</v>
      </c>
      <c r="B12" s="34" t="inlineStr">
        <is>
          <t>יציבה ויישור גוף</t>
        </is>
      </c>
      <c r="C12" s="34" t="inlineStr">
        <is>
          <t>בינוני</t>
        </is>
      </c>
      <c r="D12" s="34" t="inlineStr">
        <is>
          <t>ללא ציוד</t>
        </is>
      </c>
      <c r="E12" s="33" t="n">
        <v>1</v>
      </c>
      <c r="F12" s="35" t="n">
        <v>0</v>
      </c>
      <c r="G12" s="33">
        <f>IF(F12=0,"חסר",IF(F12&lt;E12,"בתהליך","הושלם"))</f>
        <v/>
      </c>
      <c r="H12" s="36" t="n"/>
    </row>
    <row r="13" ht="13.5" customHeight="1" s="25">
      <c r="A13" s="33" t="n">
        <v>12</v>
      </c>
      <c r="B13" s="34" t="inlineStr">
        <is>
          <t>יציבה ויישור גוף</t>
        </is>
      </c>
      <c r="C13" s="34" t="inlineStr">
        <is>
          <t>מתקדם</t>
        </is>
      </c>
      <c r="D13" s="34" t="inlineStr">
        <is>
          <t>ללא ציוד</t>
        </is>
      </c>
      <c r="E13" s="33" t="n">
        <v>1</v>
      </c>
      <c r="F13" s="35" t="n">
        <v>0</v>
      </c>
      <c r="G13" s="33">
        <f>IF(F13=0,"חסר",IF(F13&lt;E13,"בתהליך","הושלם"))</f>
        <v/>
      </c>
      <c r="H13" s="36" t="n"/>
    </row>
    <row r="14" ht="13.5" customHeight="1" s="25">
      <c r="A14" s="33" t="n">
        <v>13</v>
      </c>
      <c r="B14" s="34" t="inlineStr">
        <is>
          <t>תנועה עדינה והתאמות</t>
        </is>
      </c>
      <c r="C14" s="34" t="inlineStr">
        <is>
          <t>מתחילים</t>
        </is>
      </c>
      <c r="D14" s="34" t="inlineStr">
        <is>
          <t>ללא ציוד</t>
        </is>
      </c>
      <c r="E14" s="33" t="n">
        <v>2</v>
      </c>
      <c r="F14" s="35" t="n">
        <v>2</v>
      </c>
      <c r="G14" s="33">
        <f>IF(F14=0,"חסר",IF(F14&lt;E14,"בתהליך","הושלם"))</f>
        <v/>
      </c>
      <c r="H14" s="36" t="inlineStr">
        <is>
          <t>כולל מבוגרים/חזרה לפעילות</t>
        </is>
      </c>
    </row>
    <row r="15" ht="13.5" customHeight="1" s="25">
      <c r="A15" s="33" t="n">
        <v>14</v>
      </c>
      <c r="B15" s="34" t="inlineStr">
        <is>
          <t>תנועה עדינה והתאמות</t>
        </is>
      </c>
      <c r="C15" s="34" t="inlineStr">
        <is>
          <t>בינוני</t>
        </is>
      </c>
      <c r="D15" s="34" t="inlineStr">
        <is>
          <t>ללא ציוד</t>
        </is>
      </c>
      <c r="E15" s="33" t="n">
        <v>1</v>
      </c>
      <c r="F15" s="35" t="n">
        <v>2</v>
      </c>
      <c r="G15" s="33">
        <f>IF(F15=0,"חסר",IF(F15&lt;E15,"בתהליך","הושלם"))</f>
        <v/>
      </c>
      <c r="H15" s="36" t="n"/>
    </row>
    <row r="16" ht="13.5" customHeight="1" s="25">
      <c r="A16" s="33" t="n">
        <v>15</v>
      </c>
      <c r="B16" s="34" t="inlineStr">
        <is>
          <t>פילאטיס דינמי</t>
        </is>
      </c>
      <c r="C16" s="34" t="inlineStr">
        <is>
          <t>מתחילים</t>
        </is>
      </c>
      <c r="D16" s="34" t="inlineStr">
        <is>
          <t>גומיית לולאה</t>
        </is>
      </c>
      <c r="E16" s="33" t="n">
        <v>1</v>
      </c>
      <c r="F16" s="35" t="n">
        <v>0</v>
      </c>
      <c r="G16" s="33">
        <f>IF(F16=0,"חסר",IF(F16&lt;E16,"בתהליך","הושלם"))</f>
        <v/>
      </c>
      <c r="H16" s="36" t="n"/>
    </row>
    <row r="17" ht="13.5" customHeight="1" s="25">
      <c r="A17" s="33" t="n">
        <v>16</v>
      </c>
      <c r="B17" s="34" t="inlineStr">
        <is>
          <t>פילאטיס דינמי</t>
        </is>
      </c>
      <c r="C17" s="34" t="inlineStr">
        <is>
          <t>בינוני</t>
        </is>
      </c>
      <c r="D17" s="34" t="inlineStr">
        <is>
          <t>גומיית לולאה</t>
        </is>
      </c>
      <c r="E17" s="33" t="n">
        <v>1</v>
      </c>
      <c r="F17" s="35" t="n">
        <v>0</v>
      </c>
      <c r="G17" s="33">
        <f>IF(F17=0,"חסר",IF(F17&lt;E17,"בתהליך","הושלם"))</f>
        <v/>
      </c>
      <c r="H17" s="36" t="n"/>
    </row>
    <row r="18" ht="13.5" customHeight="1" s="25">
      <c r="A18" s="33" t="n">
        <v>17</v>
      </c>
      <c r="B18" s="34" t="inlineStr">
        <is>
          <t>פילאטיס דינמי</t>
        </is>
      </c>
      <c r="C18" s="34" t="inlineStr">
        <is>
          <t>מתקדם</t>
        </is>
      </c>
      <c r="D18" s="34" t="inlineStr">
        <is>
          <t>גומיית לולאה</t>
        </is>
      </c>
      <c r="E18" s="33" t="n">
        <v>1</v>
      </c>
      <c r="F18" s="35" t="n">
        <v>0</v>
      </c>
      <c r="G18" s="33">
        <f>IF(F18=0,"חסר",IF(F18&lt;E18,"בתהליך","הושלם"))</f>
        <v/>
      </c>
      <c r="H18" s="36" t="n"/>
    </row>
    <row r="19" ht="13.5" customHeight="1" s="25">
      <c r="A19" s="24" t="n">
        <v>18</v>
      </c>
      <c r="B19" s="24" t="inlineStr">
        <is>
          <t>פילאטיס בסיסי למתחילים</t>
        </is>
      </c>
      <c r="C19" s="24" t="inlineStr">
        <is>
          <t>מתחילים</t>
        </is>
      </c>
      <c r="D19" s="24" t="inlineStr">
        <is>
          <t>גומיית רצועה ארוכה</t>
        </is>
      </c>
      <c r="E19" s="24" t="n">
        <v>1</v>
      </c>
      <c r="F19" s="24" t="n">
        <v>1</v>
      </c>
      <c r="G19" s="24">
        <f>IF(F19=0,"חסר",IF(F19&lt;E19,"בתהליך","הושלם"))</f>
        <v/>
      </c>
    </row>
    <row r="20">
      <c r="A20" s="24" t="n">
        <v>19</v>
      </c>
      <c r="B20" s="24" t="inlineStr">
        <is>
          <t>חיזוק ליבה וגוף מלא</t>
        </is>
      </c>
      <c r="C20" s="24" t="inlineStr">
        <is>
          <t>בינוני</t>
        </is>
      </c>
      <c r="D20" s="24" t="inlineStr">
        <is>
          <t>גומיית רצועה ארוכה</t>
        </is>
      </c>
      <c r="E20" s="24" t="n">
        <v>1</v>
      </c>
      <c r="F20" s="24" t="n">
        <v>3</v>
      </c>
      <c r="G20" s="24">
        <f>IF(F20=0,"חסר",IF(F20&lt;E20,"בתהליך","הושלם"))</f>
        <v/>
      </c>
    </row>
    <row r="21">
      <c r="A21" s="24" t="n">
        <v>20</v>
      </c>
      <c r="B21" s="24" t="inlineStr">
        <is>
          <t>חיזוק מתקדם</t>
        </is>
      </c>
      <c r="C21" s="24" t="inlineStr">
        <is>
          <t>מתקדם</t>
        </is>
      </c>
      <c r="D21" s="24" t="inlineStr">
        <is>
          <t>גומיית רצועה ארוכה</t>
        </is>
      </c>
      <c r="E21" s="24" t="n">
        <v>1</v>
      </c>
      <c r="F21" s="24" t="n">
        <v>1</v>
      </c>
      <c r="G21" s="24">
        <f>IF(F21=0,"חסר",IF(F21&lt;E21,"בתהליך","הושלם"))</f>
        <v/>
      </c>
    </row>
    <row r="22">
      <c r="A22" s="24" t="n">
        <v>21</v>
      </c>
      <c r="B22" s="24" t="inlineStr">
        <is>
          <t>פילאטיס דינמי</t>
        </is>
      </c>
      <c r="C22" s="24" t="inlineStr">
        <is>
          <t>מתחילים</t>
        </is>
      </c>
      <c r="D22" s="24" t="inlineStr">
        <is>
          <t>גומיית רצועה ארוכה</t>
        </is>
      </c>
      <c r="E22" s="24" t="n">
        <v>1</v>
      </c>
      <c r="F22" s="24" t="n">
        <v>1</v>
      </c>
      <c r="G22" s="24">
        <f>IF(F22=0,"חסר",IF(F22&lt;E22,"בתהליך","הושלם"))</f>
        <v/>
      </c>
    </row>
    <row r="23">
      <c r="B23" s="37" t="inlineStr">
        <is>
          <t>סה"כ</t>
        </is>
      </c>
      <c r="E23" s="37">
        <f>SUM(E2:E22)</f>
        <v/>
      </c>
      <c r="F23" s="37">
        <f>SUM(F2:F22)</f>
        <v/>
      </c>
    </row>
  </sheetData>
  <conditionalFormatting sqref="G2:G18">
    <cfRule type="cellIs" rank="0" priority="2" equalAverage="0" operator="equal" aboveAverage="0" dxfId="0" text="" percent="0" bottom="0">
      <formula>"חסר"</formula>
    </cfRule>
    <cfRule type="cellIs" rank="0" priority="3" equalAverage="0" operator="equal" aboveAverage="0" dxfId="1" text="" percent="0" bottom="0">
      <formula>"בתהליך"</formula>
    </cfRule>
    <cfRule type="cellIs" rank="0" priority="4" equalAverage="0" operator="equal" aboveAverage="0" dxfId="2" text="" percent="0" bottom="0">
      <formula>"הושלם"</formula>
    </cfRule>
  </conditionalFormatting>
  <dataValidations count="1">
    <dataValidation sqref="C2:C22" showDropDown="0" showInputMessage="0" showErrorMessage="0" allowBlank="1" type="list" errorStyle="stop" operator="between">
      <formula1>"מתחילים,בינוני,מתקדם"</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E69138"/>
    <outlinePr summaryBelow="1" summaryRight="1"/>
    <pageSetUpPr fitToPage="0"/>
  </sheetPr>
  <dimension ref="A1:V39"/>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6" customWidth="1" style="24" min="1" max="1"/>
    <col width="34" customWidth="1" style="24" min="2" max="2"/>
    <col width="16" customWidth="1" style="24" min="3" max="4"/>
    <col width="30" customWidth="1" style="24" min="5" max="5"/>
    <col width="16" customWidth="1" style="24" min="6" max="6"/>
    <col width="9" customWidth="1" style="24" min="7" max="7"/>
    <col width="8" customWidth="1" style="24" min="8" max="8"/>
    <col width="10" customWidth="1" style="24" min="9" max="9"/>
    <col width="20" customWidth="1" style="24" min="10" max="10"/>
    <col width="14" customWidth="1" style="24" min="11" max="11"/>
    <col width="20" customWidth="1" style="24" min="12" max="13"/>
    <col width="9" customWidth="1" style="24" min="14" max="20"/>
    <col width="16" customWidth="1" style="24" min="21" max="21"/>
    <col width="40" customWidth="1" style="24" min="22" max="22"/>
  </cols>
  <sheetData>
    <row r="1" ht="27.75" customHeight="1" s="25">
      <c r="A1" s="32" t="inlineStr">
        <is>
          <t>מזהה</t>
        </is>
      </c>
      <c r="B1" s="32" t="inlineStr">
        <is>
          <t>שם הסרטון</t>
        </is>
      </c>
      <c r="C1" s="32" t="inlineStr">
        <is>
          <t>מדריך</t>
        </is>
      </c>
      <c r="D1" s="32" t="inlineStr">
        <is>
          <t>ערוץ</t>
        </is>
      </c>
      <c r="E1" s="32" t="inlineStr">
        <is>
          <t>קישור URL</t>
        </is>
      </c>
      <c r="F1" s="32" t="inlineStr">
        <is>
          <t>תאריך פרסום</t>
        </is>
      </c>
      <c r="G1" s="32" t="inlineStr">
        <is>
          <t>משך (דקות)</t>
        </is>
      </c>
      <c r="H1" s="32" t="inlineStr">
        <is>
          <t>שפה</t>
        </is>
      </c>
      <c r="I1" s="32" t="inlineStr">
        <is>
          <t>סוג תוכן</t>
        </is>
      </c>
      <c r="J1" s="32" t="inlineStr">
        <is>
          <t>ציוד</t>
        </is>
      </c>
      <c r="K1" s="32" t="inlineStr">
        <is>
          <t>רמה</t>
        </is>
      </c>
      <c r="L1" s="32" t="inlineStr">
        <is>
          <t>מטרה</t>
        </is>
      </c>
      <c r="M1" s="32" t="inlineStr">
        <is>
          <t>אזור גוף</t>
        </is>
      </c>
      <c r="N1" s="32" t="inlineStr">
        <is>
          <t>ניקוד אמינות</t>
        </is>
      </c>
      <c r="O1" s="32" t="inlineStr">
        <is>
          <t>ניקוד בהירות</t>
        </is>
      </c>
      <c r="P1" s="32" t="inlineStr">
        <is>
          <t>ניקוד בטיחות</t>
        </is>
      </c>
      <c r="Q1" s="32" t="inlineStr">
        <is>
          <t>ניקוד התאמה</t>
        </is>
      </c>
      <c r="R1" s="32" t="inlineStr">
        <is>
          <t>ניקוד איכות</t>
        </is>
      </c>
      <c r="S1" s="32" t="inlineStr">
        <is>
          <t>ניקוד נגישות</t>
        </is>
      </c>
      <c r="T1" s="32" t="inlineStr">
        <is>
          <t>ניקוד כולל</t>
        </is>
      </c>
      <c r="U1" s="32" t="inlineStr">
        <is>
          <t>החלטה</t>
        </is>
      </c>
      <c r="V1" s="32" t="inlineStr">
        <is>
          <t>הערות</t>
        </is>
      </c>
    </row>
    <row r="2" ht="77.25" customHeight="1" s="25">
      <c r="A2" s="33" t="n">
        <v>1</v>
      </c>
      <c r="B2" s="36" t="inlineStr">
        <is>
          <t>POP Pilates for Beginners - Total Body Workout</t>
        </is>
      </c>
      <c r="C2" s="36" t="inlineStr">
        <is>
          <t>Cassey Ho</t>
        </is>
      </c>
      <c r="D2" s="34" t="inlineStr">
        <is>
          <t>Blogilates (Cassey Ho)</t>
        </is>
      </c>
      <c r="E2" s="39" t="inlineStr">
        <is>
          <t>https://www.youtube.com/watch?v=lCg_gh_fppI</t>
        </is>
      </c>
      <c r="F2" s="35" t="inlineStr">
        <is>
          <t>2011 (לא אומת במדויק)</t>
        </is>
      </c>
      <c r="G2" s="35" t="n"/>
      <c r="H2" s="33" t="inlineStr">
        <is>
          <t>אנגלית</t>
        </is>
      </c>
      <c r="I2" s="34" t="inlineStr">
        <is>
          <t>שיעור</t>
        </is>
      </c>
      <c r="J2" s="34" t="inlineStr">
        <is>
          <t>ללא ציוד</t>
        </is>
      </c>
      <c r="K2" s="34" t="inlineStr">
        <is>
          <t>מתחילים</t>
        </is>
      </c>
      <c r="L2" s="34" t="inlineStr">
        <is>
          <t>פילאטיס בסיסי / חיזוק כללי</t>
        </is>
      </c>
      <c r="M2" s="34" t="inlineStr">
        <is>
          <t>גוף מלא</t>
        </is>
      </c>
      <c r="N2" s="35" t="n">
        <v>5</v>
      </c>
      <c r="O2" s="35" t="n">
        <v>4</v>
      </c>
      <c r="P2" s="35" t="n">
        <v>3</v>
      </c>
      <c r="Q2" s="35" t="n">
        <v>5</v>
      </c>
      <c r="R2" s="35" t="n">
        <v>4</v>
      </c>
      <c r="S2" s="35" t="n">
        <v>5</v>
      </c>
      <c r="T2" s="33">
        <f>IF(COUNT(N2:S2)=0,"",ROUND(AVERAGE(N2:S2),1))</f>
        <v/>
      </c>
      <c r="U2" s="33" t="inlineStr">
        <is>
          <t>לכלול בקטלוג</t>
        </is>
      </c>
      <c r="V2" s="36" t="inlineStr">
        <is>
          <t>וידאו ראשון בסדרת המתחילים; מלמד נשימה, שליטה וטכניקת roll-up. וידאו ותיק (2011), איכות הפקה בסיסית יחסית לסרטונים חדשים. דורג על סמך מידע משני (עמוד הערוץ, תיאור הסרטון, כתבות סקירה) - לא נצפה במלואו; מומלץ צפייה מהירה לפני פרסום סופי.</t>
        </is>
      </c>
    </row>
    <row r="3" ht="51.75" customHeight="1" s="25">
      <c r="A3" s="33" t="n">
        <v>2</v>
      </c>
      <c r="B3" s="36" t="inlineStr">
        <is>
          <t>POP Pilates for Beginners: Ab Time!</t>
        </is>
      </c>
      <c r="C3" s="36" t="inlineStr">
        <is>
          <t>Cassey Ho</t>
        </is>
      </c>
      <c r="D3" s="34" t="inlineStr">
        <is>
          <t>Blogilates (Cassey Ho)</t>
        </is>
      </c>
      <c r="E3" s="39" t="inlineStr">
        <is>
          <t>https://www.youtube.com/watch?v=tUVvec3z-mo</t>
        </is>
      </c>
      <c r="F3" s="35" t="inlineStr">
        <is>
          <t>2011 (לא אומת במדויק)</t>
        </is>
      </c>
      <c r="G3" s="35" t="n"/>
      <c r="H3" s="33" t="inlineStr">
        <is>
          <t>אנגלית</t>
        </is>
      </c>
      <c r="I3" s="34" t="inlineStr">
        <is>
          <t>תרגיל</t>
        </is>
      </c>
      <c r="J3" s="34" t="inlineStr">
        <is>
          <t>ללא ציוד</t>
        </is>
      </c>
      <c r="K3" s="34" t="inlineStr">
        <is>
          <t>מתחילים</t>
        </is>
      </c>
      <c r="L3" s="34" t="inlineStr">
        <is>
          <t>חיזוק</t>
        </is>
      </c>
      <c r="M3" s="34" t="inlineStr">
        <is>
          <t>בטן וליבה</t>
        </is>
      </c>
      <c r="N3" s="35" t="n">
        <v>5</v>
      </c>
      <c r="O3" s="35" t="n">
        <v>4</v>
      </c>
      <c r="P3" s="35" t="n">
        <v>3</v>
      </c>
      <c r="Q3" s="35" t="n">
        <v>5</v>
      </c>
      <c r="R3" s="35" t="n">
        <v>4</v>
      </c>
      <c r="S3" s="35" t="n">
        <v>5</v>
      </c>
      <c r="T3" s="33">
        <f>IF(COUNT(N3:S3)=0,"",ROUND(AVERAGE(N3:S3),1))</f>
        <v/>
      </c>
      <c r="U3" s="33" t="inlineStr">
        <is>
          <t>לכלול בקטלוג</t>
        </is>
      </c>
      <c r="V3" s="36" t="inlineStr">
        <is>
          <t>וידאו #2 בסדרת המתחילים; 6 תרגילי בטן. וידאו ותיק (2011). דורג על סמך מידע משני (עמוד הערוץ, תיאור הסרטון, כתבות סקירה) - לא נצפה במלואו; מומלץ צפייה מהירה לפני פרסום סופי.</t>
        </is>
      </c>
    </row>
    <row r="4" ht="64.5" customHeight="1" s="25">
      <c r="A4" s="33" t="n">
        <v>3</v>
      </c>
      <c r="B4" s="36" t="inlineStr">
        <is>
          <t>15 min Full Body Workout with Bands</t>
        </is>
      </c>
      <c r="C4" s="36" t="inlineStr">
        <is>
          <t>Cassey Ho</t>
        </is>
      </c>
      <c r="D4" s="34" t="inlineStr">
        <is>
          <t>Blogilates (Cassey Ho)</t>
        </is>
      </c>
      <c r="E4" s="39" t="inlineStr">
        <is>
          <t>https://www.youtube.com/watch?v=cPjK7QqIY6Q</t>
        </is>
      </c>
      <c r="F4" s="35" t="inlineStr">
        <is>
          <t>24/01/2021</t>
        </is>
      </c>
      <c r="G4" s="35" t="n">
        <v>15</v>
      </c>
      <c r="H4" s="33" t="inlineStr">
        <is>
          <t>אנגלית</t>
        </is>
      </c>
      <c r="I4" s="34" t="inlineStr">
        <is>
          <t>תרגיל</t>
        </is>
      </c>
      <c r="J4" s="34" t="inlineStr">
        <is>
          <t>גומיית לולאה</t>
        </is>
      </c>
      <c r="K4" s="34" t="inlineStr">
        <is>
          <t>בינוני</t>
        </is>
      </c>
      <c r="L4" s="34" t="inlineStr">
        <is>
          <t>חיזוק</t>
        </is>
      </c>
      <c r="M4" s="34" t="inlineStr">
        <is>
          <t>גוף מלא</t>
        </is>
      </c>
      <c r="N4" s="35" t="n">
        <v>5</v>
      </c>
      <c r="O4" s="35" t="n">
        <v>4</v>
      </c>
      <c r="P4" s="35" t="n">
        <v>4</v>
      </c>
      <c r="Q4" s="35" t="n">
        <v>5</v>
      </c>
      <c r="R4" s="35" t="n">
        <v>5</v>
      </c>
      <c r="S4" s="35" t="n">
        <v>5</v>
      </c>
      <c r="T4" s="33">
        <f>IF(COUNT(N4:S4)=0,"",ROUND(AVERAGE(N4:S4),1))</f>
        <v/>
      </c>
      <c r="U4" s="33" t="inlineStr">
        <is>
          <t>לכלול בקטלוג</t>
        </is>
      </c>
      <c r="V4" s="36" t="inlineStr">
        <is>
          <t>לפי עמוד הערוץ: Sweat Time 15 דק', Body Focus: Total body. רמה לא צוינה במפורש - הוערכה כבינוני. דורג על סמך מידע משני (עמוד הערוץ, תיאור הסרטון, כתבות סקירה) - לא נצפה במלואו; מומלץ צפייה מהירה לפני פרסום סופי.</t>
        </is>
      </c>
    </row>
    <row r="5" ht="51.75" customHeight="1" s="25">
      <c r="A5" s="33" t="n">
        <v>4</v>
      </c>
      <c r="B5" s="36" t="inlineStr">
        <is>
          <t>10 Minute Booty Burn Workout with Bands</t>
        </is>
      </c>
      <c r="C5" s="36" t="inlineStr">
        <is>
          <t>Cassey Ho</t>
        </is>
      </c>
      <c r="D5" s="34" t="inlineStr">
        <is>
          <t>Blogilates (Cassey Ho)</t>
        </is>
      </c>
      <c r="E5" s="39" t="inlineStr">
        <is>
          <t>https://www.youtube.com/watch?v=hyAfBY3NTWY</t>
        </is>
      </c>
      <c r="F5" s="35" t="inlineStr">
        <is>
          <t>2021 (לא אומת במדויק)</t>
        </is>
      </c>
      <c r="G5" s="35" t="n">
        <v>15</v>
      </c>
      <c r="H5" s="33" t="inlineStr">
        <is>
          <t>אנגלית</t>
        </is>
      </c>
      <c r="I5" s="34" t="inlineStr">
        <is>
          <t>תרגיל</t>
        </is>
      </c>
      <c r="J5" s="34" t="inlineStr">
        <is>
          <t>גומיית לולאה</t>
        </is>
      </c>
      <c r="K5" s="34" t="inlineStr">
        <is>
          <t>מתחילים-בינוני</t>
        </is>
      </c>
      <c r="L5" s="34" t="inlineStr">
        <is>
          <t>חיזוק</t>
        </is>
      </c>
      <c r="M5" s="34" t="inlineStr">
        <is>
          <t>ישבן ורגליים</t>
        </is>
      </c>
      <c r="N5" s="35" t="n">
        <v>5</v>
      </c>
      <c r="O5" s="35" t="n">
        <v>4</v>
      </c>
      <c r="P5" s="35" t="n">
        <v>3</v>
      </c>
      <c r="Q5" s="35" t="n">
        <v>5</v>
      </c>
      <c r="R5" s="35" t="n">
        <v>4</v>
      </c>
      <c r="S5" s="35" t="n">
        <v>5</v>
      </c>
      <c r="T5" s="33">
        <f>IF(COUNT(N5:S5)=0,"",ROUND(AVERAGE(N5:S5),1))</f>
        <v/>
      </c>
      <c r="U5" s="33" t="inlineStr">
        <is>
          <t>לכלול בקטלוג</t>
        </is>
      </c>
      <c r="V5" s="36" t="inlineStr">
        <is>
          <t>ממוקד ירך פנימית/חיצונית וישבן עם גומיית לולאה. דורג על סמך מידע משני (עמוד הערוץ, תיאור הסרטון, כתבות סקירה) - לא נצפה במלואו; מומלץ צפייה מהירה לפני פרסום סופי. [תוקן ע"י Claude, 29.08.2026: הכותרת שנרשמה במקור ("15 Minute Booty Band Burnout...") לא תאמה לכותרת האמיתית של הסרטון ב-YouTube - תוקנה. משך הזמן (15 דק') כן היה מדויק (אומת: 909 שניות בפועל).]</t>
        </is>
      </c>
    </row>
    <row r="6" ht="64.5" customHeight="1" s="25">
      <c r="A6" s="33" t="n">
        <v>5</v>
      </c>
      <c r="B6" s="36" t="inlineStr">
        <is>
          <t>15 Minute Weightless Arms Workout - sculpt sleek &amp; toned shoulders, triceps, biceps and back</t>
        </is>
      </c>
      <c r="C6" s="36" t="inlineStr">
        <is>
          <t>Cassey Ho</t>
        </is>
      </c>
      <c r="D6" s="34" t="inlineStr">
        <is>
          <t>Blogilates (Cassey Ho)</t>
        </is>
      </c>
      <c r="E6" s="39" t="inlineStr">
        <is>
          <t>https://www.youtube.com/watch?v=lws5oLzhHTA</t>
        </is>
      </c>
      <c r="F6" s="35" t="inlineStr">
        <is>
          <t>29/08/2021</t>
        </is>
      </c>
      <c r="G6" s="35" t="n">
        <v>15</v>
      </c>
      <c r="H6" s="33" t="inlineStr">
        <is>
          <t>אנגלית</t>
        </is>
      </c>
      <c r="I6" s="34" t="inlineStr">
        <is>
          <t>תרגיל</t>
        </is>
      </c>
      <c r="J6" s="34" t="inlineStr">
        <is>
          <t>ללא ציוד</t>
        </is>
      </c>
      <c r="K6" s="34" t="inlineStr">
        <is>
          <t>בינוני</t>
        </is>
      </c>
      <c r="L6" s="34" t="inlineStr">
        <is>
          <t>חיזוק</t>
        </is>
      </c>
      <c r="M6" s="34" t="inlineStr">
        <is>
          <t>כתפיים וזרועות</t>
        </is>
      </c>
      <c r="N6" s="35" t="n">
        <v>5</v>
      </c>
      <c r="O6" s="35" t="n">
        <v>5</v>
      </c>
      <c r="P6" s="35" t="n">
        <v>4</v>
      </c>
      <c r="Q6" s="35" t="n">
        <v>5</v>
      </c>
      <c r="R6" s="35" t="n">
        <v>5</v>
      </c>
      <c r="S6" s="35" t="n">
        <v>5</v>
      </c>
      <c r="T6" s="33">
        <f>IF(COUNT(N6:S6)=0,"",ROUND(AVERAGE(N6:S6),1))</f>
        <v/>
      </c>
      <c r="U6" s="33" t="inlineStr">
        <is>
          <t>לכלול בקטלוג</t>
        </is>
      </c>
      <c r="V6" s="36" t="inlineStr">
        <is>
          <t>תיאור הסרטון כולל פירוט מלא של כל תרגיל עם חותמות זמן (עדות לבהירות ההדגמה). ללא משקולות/גומיות. דורג על סמך מידע משני (עמוד הערוץ, תיאור הסרטון, כתבות סקירה) - לא נצפה במלואו; מומלץ צפייה מהירה לפני פרסום סופי.</t>
        </is>
      </c>
    </row>
    <row r="7" ht="77.25" customHeight="1" s="25">
      <c r="A7" s="33" t="n">
        <v>6</v>
      </c>
      <c r="B7" s="36" t="inlineStr">
        <is>
          <t>15 Minute Deep Stretch for Splits</t>
        </is>
      </c>
      <c r="C7" s="36" t="inlineStr">
        <is>
          <t>Cassey Ho</t>
        </is>
      </c>
      <c r="D7" s="34" t="inlineStr">
        <is>
          <t>Blogilates (Cassey Ho)</t>
        </is>
      </c>
      <c r="E7" s="39" t="inlineStr">
        <is>
          <t>https://www.youtube.com/watch?v=GFuhJQloXu8</t>
        </is>
      </c>
      <c r="F7" s="35" t="inlineStr">
        <is>
          <t>20/06/2021</t>
        </is>
      </c>
      <c r="G7" s="35" t="n">
        <v>15</v>
      </c>
      <c r="H7" s="33" t="inlineStr">
        <is>
          <t>אנגלית</t>
        </is>
      </c>
      <c r="I7" s="34" t="inlineStr">
        <is>
          <t>שיעור</t>
        </is>
      </c>
      <c r="J7" s="34" t="inlineStr">
        <is>
          <t>ללא ציוד (בלוקי יוגה אופציונליים)</t>
        </is>
      </c>
      <c r="K7" s="34" t="inlineStr">
        <is>
          <t>מתחילים-מתקדם</t>
        </is>
      </c>
      <c r="L7" s="34" t="inlineStr">
        <is>
          <t>גמישות ומתיחה</t>
        </is>
      </c>
      <c r="M7" s="34" t="inlineStr">
        <is>
          <t>ישבן ורגליים</t>
        </is>
      </c>
      <c r="N7" s="35" t="n">
        <v>5</v>
      </c>
      <c r="O7" s="35" t="n">
        <v>4</v>
      </c>
      <c r="P7" s="35" t="n">
        <v>3</v>
      </c>
      <c r="Q7" s="35" t="n">
        <v>5</v>
      </c>
      <c r="R7" s="35" t="n">
        <v>5</v>
      </c>
      <c r="S7" s="35" t="n">
        <v>5</v>
      </c>
      <c r="T7" s="33">
        <f>IF(COUNT(N7:S7)=0,"",ROUND(AVERAGE(N7:S7),1))</f>
        <v/>
      </c>
      <c r="U7" s="33" t="inlineStr">
        <is>
          <t>לכלול בקטלוג</t>
        </is>
      </c>
      <c r="V7" s="36" t="inlineStr">
        <is>
          <t>מתיחות עומק לקראת ספליט - מתאים כתרגול הדרגתי לכל הרמות, אך אין אזהרת זהירות מפורשת בסרטון עצמו למתחילים לגמרי. דורג על סמך מידע משני (עמוד הערוץ, תיאור הסרטון, כתבות סקירה) - לא נצפה במלואו; מומלץ צפייה מהירה לפני פרסום סופי.</t>
        </is>
      </c>
    </row>
    <row r="8" ht="13.5" customHeight="1" s="25">
      <c r="A8" s="40" t="n">
        <v>7</v>
      </c>
      <c r="B8" s="41" t="inlineStr">
        <is>
          <t>אימון פילאטיס מזרן למתחילים - 30 דקות (שיעור מלא)</t>
        </is>
      </c>
      <c r="C8" s="41" t="inlineStr">
        <is>
          <t>Yael Israel</t>
        </is>
      </c>
      <c r="D8" s="42" t="inlineStr">
        <is>
          <t>יעל ישראל (Yael Israel)</t>
        </is>
      </c>
      <c r="E8" s="43" t="inlineStr">
        <is>
          <t>https://www.youtube.com/watch?v=6bgk7trQBuk</t>
        </is>
      </c>
      <c r="F8" s="44" t="inlineStr">
        <is>
          <t>27/01/2022</t>
        </is>
      </c>
      <c r="G8" s="44" t="n">
        <v>30</v>
      </c>
      <c r="H8" s="40" t="inlineStr">
        <is>
          <t>עברית</t>
        </is>
      </c>
      <c r="I8" s="42" t="inlineStr">
        <is>
          <t>שיעור</t>
        </is>
      </c>
      <c r="J8" s="42" t="inlineStr">
        <is>
          <t>ללא ציוד</t>
        </is>
      </c>
      <c r="K8" s="42" t="inlineStr">
        <is>
          <t>מתחילים</t>
        </is>
      </c>
      <c r="L8" s="42" t="inlineStr">
        <is>
          <t>פילאטיס בסיסי / חיזוק כללי</t>
        </is>
      </c>
      <c r="M8" s="42" t="inlineStr">
        <is>
          <t>גוף מלא</t>
        </is>
      </c>
      <c r="N8" s="44" t="n">
        <v>5</v>
      </c>
      <c r="O8" s="44" t="n">
        <v>4</v>
      </c>
      <c r="P8" s="44" t="n">
        <v>4</v>
      </c>
      <c r="Q8" s="44" t="n">
        <v>5</v>
      </c>
      <c r="R8" s="44" t="n">
        <v>4</v>
      </c>
      <c r="S8" s="44" t="n">
        <v>5</v>
      </c>
      <c r="T8" s="40">
        <f>IF(COUNT(N8:S8)=0,"",ROUND(AVERAGE(N8:S8),1))</f>
        <v/>
      </c>
      <c r="U8" s="40" t="inlineStr">
        <is>
          <t>לכלול בקטלוג</t>
        </is>
      </c>
      <c r="V8" s="41" t="inlineStr">
        <is>
          <t>שיעור מלא בעברית למתחילים - התאמה מצוינת לקהל דובר עברית. דורג על סמך מידע משני (תיאורי סרטונים, כתבת TheMarker, עמודי הפייסבוק) - לא נצפה במלואו; מומלץ צפייה מהירה לפני פרסום סופי.</t>
        </is>
      </c>
    </row>
    <row r="9" ht="13.5" customHeight="1" s="25">
      <c r="A9" s="40" t="n">
        <v>8</v>
      </c>
      <c r="B9" s="41" t="inlineStr">
        <is>
          <t>אימון פילאטיס מזרן עם התאמת תרגילים לכל רמות הקושי - 20 דקות</t>
        </is>
      </c>
      <c r="C9" s="41" t="inlineStr">
        <is>
          <t>Yael Israel</t>
        </is>
      </c>
      <c r="D9" s="42" t="inlineStr">
        <is>
          <t>יעל ישראל (Yael Israel)</t>
        </is>
      </c>
      <c r="E9" s="43" t="inlineStr">
        <is>
          <t>https://www.youtube.com/watch?v=dWYpp5WAARY</t>
        </is>
      </c>
      <c r="F9" s="44" t="inlineStr">
        <is>
          <t>27/02/2024</t>
        </is>
      </c>
      <c r="G9" s="44" t="n">
        <v>20</v>
      </c>
      <c r="H9" s="40" t="inlineStr">
        <is>
          <t>עברית</t>
        </is>
      </c>
      <c r="I9" s="42" t="inlineStr">
        <is>
          <t>שיעור</t>
        </is>
      </c>
      <c r="J9" s="42" t="inlineStr">
        <is>
          <t>ללא ציוד</t>
        </is>
      </c>
      <c r="K9" s="42" t="inlineStr">
        <is>
          <t>מתחילים-מתקדם</t>
        </is>
      </c>
      <c r="L9" s="42" t="inlineStr">
        <is>
          <t>תנועה עדינה והתאמות</t>
        </is>
      </c>
      <c r="M9" s="42" t="inlineStr">
        <is>
          <t>גוף מלא</t>
        </is>
      </c>
      <c r="N9" s="44" t="n">
        <v>5</v>
      </c>
      <c r="O9" s="44" t="n">
        <v>4</v>
      </c>
      <c r="P9" s="44" t="n">
        <v>5</v>
      </c>
      <c r="Q9" s="44" t="n">
        <v>5</v>
      </c>
      <c r="R9" s="44" t="n">
        <v>4</v>
      </c>
      <c r="S9" s="44" t="n">
        <v>5</v>
      </c>
      <c r="T9" s="40">
        <f>IF(COUNT(N9:S9)=0,"",ROUND(AVERAGE(N9:S9),1))</f>
        <v/>
      </c>
      <c r="U9" s="40" t="inlineStr">
        <is>
          <t>לכלול בקטלוג</t>
        </is>
      </c>
      <c r="V9" s="41" t="inlineStr">
        <is>
          <t>כותרת הסרטון מציינת במפורש 'התאמת תרגילים לכל רמות הקושי' - עדות ישירה לקריטריון ההתאמות. דורג על סמך מידע משני (תיאורי סרטונים, כתבת TheMarker, עמודי הפייסבוק) - לא נצפה במלואו; מומלץ צפייה מהירה לפני פרסום סופי.</t>
        </is>
      </c>
    </row>
    <row r="10" ht="13.5" customHeight="1" s="25">
      <c r="A10" s="40" t="n">
        <v>9</v>
      </c>
      <c r="B10" s="41" t="inlineStr">
        <is>
          <t>אימון פילאטיס מלא עם גומייה - 40 דקות</t>
        </is>
      </c>
      <c r="C10" s="41" t="inlineStr">
        <is>
          <t>Yael Israel</t>
        </is>
      </c>
      <c r="D10" s="42" t="inlineStr">
        <is>
          <t>יעל ישראל (Yael Israel)</t>
        </is>
      </c>
      <c r="E10" s="43" t="inlineStr">
        <is>
          <t>https://www.youtube.com/watch?v=_aXCj84uPiw</t>
        </is>
      </c>
      <c r="F10" s="44" t="inlineStr">
        <is>
          <t>04/05/2023</t>
        </is>
      </c>
      <c r="G10" s="44" t="n">
        <v>40</v>
      </c>
      <c r="H10" s="40" t="inlineStr">
        <is>
          <t>עברית</t>
        </is>
      </c>
      <c r="I10" s="42" t="inlineStr">
        <is>
          <t>שיעור</t>
        </is>
      </c>
      <c r="J10" s="42" t="inlineStr">
        <is>
          <t>גומיית רצועה ארוכה</t>
        </is>
      </c>
      <c r="K10" s="42" t="inlineStr">
        <is>
          <t>בינוני</t>
        </is>
      </c>
      <c r="L10" s="42" t="inlineStr">
        <is>
          <t>חיזוק</t>
        </is>
      </c>
      <c r="M10" s="42" t="inlineStr">
        <is>
          <t>גוף מלא</t>
        </is>
      </c>
      <c r="N10" s="44" t="n">
        <v>5</v>
      </c>
      <c r="O10" s="44" t="n">
        <v>4</v>
      </c>
      <c r="P10" s="44" t="n">
        <v>3</v>
      </c>
      <c r="Q10" s="44" t="n">
        <v>5</v>
      </c>
      <c r="R10" s="44" t="n">
        <v>4</v>
      </c>
      <c r="S10" s="44" t="n">
        <v>5</v>
      </c>
      <c r="T10" s="40">
        <f>IF(COUNT(N10:S10)=0,"",ROUND(AVERAGE(N10:S10),1))</f>
        <v/>
      </c>
      <c r="U10" s="40" t="inlineStr">
        <is>
          <t>לכלול בקטלוג</t>
        </is>
      </c>
      <c r="V10" s="41" t="inlineStr">
        <is>
          <t>תוכן עם גומייה בעברית - התאמה ישירה לציר הציוד המרכזי של הפרויקט. דורג על סמך מידע משני (תיאורי סרטונים, כתבת TheMarker, עמודי הפייסבוק) - לא נצפה במלואו; מומלץ צפייה מהירה לפני פרסום סופי. [תוקן ע"י Claude, 29.08.2026: תווית הציוד אוחדה מ-"גומיית התנגדות" ל"גומיית רצועה ארוכה" - עקביות עם 5 מועמדי השיעור הדומים (#16-20) שמשתמשים באותו סוג גומייה.]</t>
        </is>
      </c>
    </row>
    <row r="11" ht="13.5" customHeight="1" s="25">
      <c r="A11" s="40" t="n">
        <v>10</v>
      </c>
      <c r="B11" s="41" t="inlineStr">
        <is>
          <t>אימון פילאטיס מזרן – 20 דקות עם יעל ישראל</t>
        </is>
      </c>
      <c r="C11" s="41" t="inlineStr">
        <is>
          <t>Yael Israel</t>
        </is>
      </c>
      <c r="D11" s="42" t="inlineStr">
        <is>
          <t>יעל ישראל (Yael Israel)</t>
        </is>
      </c>
      <c r="E11" s="43" t="inlineStr">
        <is>
          <t>https://www.youtube.com/watch?v=TJa6bVbosik</t>
        </is>
      </c>
      <c r="F11" s="44" t="inlineStr">
        <is>
          <t>01/07/2025</t>
        </is>
      </c>
      <c r="G11" s="44" t="n">
        <v>20</v>
      </c>
      <c r="H11" s="40" t="inlineStr">
        <is>
          <t>עברית</t>
        </is>
      </c>
      <c r="I11" s="42" t="inlineStr">
        <is>
          <t>תרגיל</t>
        </is>
      </c>
      <c r="J11" s="42" t="inlineStr">
        <is>
          <t>ללא ציוד</t>
        </is>
      </c>
      <c r="K11" s="42" t="inlineStr">
        <is>
          <t>בינוני</t>
        </is>
      </c>
      <c r="L11" s="42" t="inlineStr">
        <is>
          <t>חיזוק</t>
        </is>
      </c>
      <c r="M11" s="42" t="inlineStr">
        <is>
          <t>בטן וליבה</t>
        </is>
      </c>
      <c r="N11" s="44" t="n">
        <v>5</v>
      </c>
      <c r="O11" s="44" t="n">
        <v>4</v>
      </c>
      <c r="P11" s="44" t="n">
        <v>4</v>
      </c>
      <c r="Q11" s="44" t="n">
        <v>5</v>
      </c>
      <c r="R11" s="44" t="n">
        <v>5</v>
      </c>
      <c r="S11" s="44" t="n">
        <v>5</v>
      </c>
      <c r="T11" s="40">
        <f>IF(COUNT(N11:S11)=0,"",ROUND(AVERAGE(N11:S11),1))</f>
        <v/>
      </c>
      <c r="U11" s="40" t="inlineStr">
        <is>
          <t>לכלול בקטלוג</t>
        </is>
      </c>
      <c r="V11" s="41" t="inlineStr">
        <is>
          <t>ממוקד הפעלת מרכז הגוף (Core); תיאור הסרטון מזכיר במפורש את אזור המיקוד. דורג על סמך מידע משני (תיאורי סרטונים, כתבת TheMarker, עמודי הפייסבוק) - לא נצפה במלואו; מומלץ צפייה מהירה לפני פרסום סופי.</t>
        </is>
      </c>
    </row>
    <row r="12" ht="13.5" customHeight="1" s="25">
      <c r="A12" s="33" t="n">
        <v>11</v>
      </c>
      <c r="B12" s="36" t="inlineStr">
        <is>
          <t>3 Magic Circle exercises for the inner thighs</t>
        </is>
      </c>
      <c r="C12" s="36" t="inlineStr">
        <is>
          <t>MyBOD Wellness</t>
        </is>
      </c>
      <c r="D12" s="34" t="inlineStr">
        <is>
          <t>MyBOD Wellness</t>
        </is>
      </c>
      <c r="E12" s="33" t="inlineStr">
        <is>
          <t>https://www.youtube.com/watch?v=2dWCf8bmPhI</t>
        </is>
      </c>
      <c r="F12" s="35" t="inlineStr">
        <is>
          <t>לא אומת</t>
        </is>
      </c>
      <c r="G12" s="35" t="n">
        <v>6</v>
      </c>
      <c r="H12" s="33" t="inlineStr">
        <is>
          <t>אנגלית</t>
        </is>
      </c>
      <c r="I12" s="34" t="inlineStr">
        <is>
          <t>תרגיל</t>
        </is>
      </c>
      <c r="J12" s="34" t="inlineStr">
        <is>
          <t>טבעת פילאטיס (Ring)</t>
        </is>
      </c>
      <c r="K12" s="34" t="inlineStr">
        <is>
          <t>מתחילים</t>
        </is>
      </c>
      <c r="L12" s="34" t="inlineStr">
        <is>
          <t>חיזוק</t>
        </is>
      </c>
      <c r="M12" s="34" t="inlineStr">
        <is>
          <t>ישבן ורגליים</t>
        </is>
      </c>
      <c r="N12" s="35" t="n">
        <v>3</v>
      </c>
      <c r="O12" s="35" t="n">
        <v>4</v>
      </c>
      <c r="P12" s="35" t="n">
        <v>4</v>
      </c>
      <c r="Q12" s="35" t="n">
        <v>4</v>
      </c>
      <c r="R12" s="35" t="n">
        <v>4</v>
      </c>
      <c r="S12" s="35" t="n">
        <v>5</v>
      </c>
      <c r="T12" s="33" t="n">
        <v>4</v>
      </c>
      <c r="U12" s="33" t="inlineStr">
        <is>
          <t>לכלול בקטלוג</t>
        </is>
      </c>
      <c r="V12"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3" ht="13.5" customHeight="1" s="25">
      <c r="A13" s="33" t="n">
        <v>12</v>
      </c>
      <c r="B13" s="36" t="inlineStr">
        <is>
          <t>RESISTANCE BAND WORKOUT - ABS &amp; CORE - HOME WORKOUT - 10 MINUTES</t>
        </is>
      </c>
      <c r="C13" s="36" t="inlineStr">
        <is>
          <t>LiveFitness</t>
        </is>
      </c>
      <c r="D13" s="34" t="inlineStr">
        <is>
          <t>LiveFitness</t>
        </is>
      </c>
      <c r="E13" s="33" t="inlineStr">
        <is>
          <t>https://www.youtube.com/watch?v=ezJ48LIS_tM</t>
        </is>
      </c>
      <c r="F13" s="35" t="inlineStr">
        <is>
          <t>לא אומת</t>
        </is>
      </c>
      <c r="G13" s="35" t="n">
        <v>10</v>
      </c>
      <c r="H13" s="33" t="inlineStr">
        <is>
          <t>אנגלית</t>
        </is>
      </c>
      <c r="I13" s="34" t="inlineStr">
        <is>
          <t>תרגיל</t>
        </is>
      </c>
      <c r="J13" s="34" t="inlineStr">
        <is>
          <t>גומיית רצועה ארוכה</t>
        </is>
      </c>
      <c r="K13" s="34" t="inlineStr">
        <is>
          <t>בינוני</t>
        </is>
      </c>
      <c r="L13" s="34" t="inlineStr">
        <is>
          <t>חיזוק</t>
        </is>
      </c>
      <c r="M13" s="34" t="inlineStr">
        <is>
          <t>בטן וליבה</t>
        </is>
      </c>
      <c r="N13" s="35" t="n">
        <v>3</v>
      </c>
      <c r="O13" s="35" t="n">
        <v>4</v>
      </c>
      <c r="P13" s="35" t="n">
        <v>4</v>
      </c>
      <c r="Q13" s="35" t="n">
        <v>4</v>
      </c>
      <c r="R13" s="35" t="n">
        <v>4</v>
      </c>
      <c r="S13" s="35" t="n">
        <v>5</v>
      </c>
      <c r="T13" s="33" t="n">
        <v>4</v>
      </c>
      <c r="U13" s="33" t="inlineStr">
        <is>
          <t>לכלול בקטלוג</t>
        </is>
      </c>
      <c r="V13"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4" ht="13.5" customHeight="1" s="25">
      <c r="A14" s="33" t="n">
        <v>13</v>
      </c>
      <c r="B14" s="36" t="inlineStr">
        <is>
          <t>10 MIN PILATES RING WORKOUT: inner thigh &amp; abs</t>
        </is>
      </c>
      <c r="C14" s="36" t="inlineStr">
        <is>
          <t>Posture Tonic by Jacinta Brown</t>
        </is>
      </c>
      <c r="D14" s="34" t="inlineStr">
        <is>
          <t>Posture Tonic by Jacinta Brown</t>
        </is>
      </c>
      <c r="E14" s="33" t="inlineStr">
        <is>
          <t>https://www.youtube.com/watch?v=M9lkkpMgIfE</t>
        </is>
      </c>
      <c r="F14" s="35" t="inlineStr">
        <is>
          <t>לא אומת</t>
        </is>
      </c>
      <c r="G14" s="35" t="n">
        <v>10</v>
      </c>
      <c r="H14" s="33" t="inlineStr">
        <is>
          <t>אנגלית</t>
        </is>
      </c>
      <c r="I14" s="34" t="inlineStr">
        <is>
          <t>תרגיל</t>
        </is>
      </c>
      <c r="J14" s="34" t="inlineStr">
        <is>
          <t>טבעת פילאטיס (Ring)</t>
        </is>
      </c>
      <c r="K14" s="34" t="inlineStr">
        <is>
          <t>מתחילים</t>
        </is>
      </c>
      <c r="L14" s="34" t="inlineStr">
        <is>
          <t>חיזוק</t>
        </is>
      </c>
      <c r="M14" s="34" t="inlineStr">
        <is>
          <t>ישבן ורגליים / בטן וליבה</t>
        </is>
      </c>
      <c r="N14" s="35" t="n">
        <v>3</v>
      </c>
      <c r="O14" s="35" t="n">
        <v>4</v>
      </c>
      <c r="P14" s="35" t="n">
        <v>4</v>
      </c>
      <c r="Q14" s="35" t="n">
        <v>4</v>
      </c>
      <c r="R14" s="35" t="n">
        <v>4</v>
      </c>
      <c r="S14" s="35" t="n">
        <v>5</v>
      </c>
      <c r="T14" s="33" t="n">
        <v>4</v>
      </c>
      <c r="U14" s="33" t="inlineStr">
        <is>
          <t>לכלול בקטלוג</t>
        </is>
      </c>
      <c r="V14"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5" ht="13.5" customHeight="1" s="25">
      <c r="A15" s="33" t="n">
        <v>14</v>
      </c>
      <c r="B15" s="36" t="inlineStr">
        <is>
          <t>Inner Thigh Burn | 10 Minute Pilates Ring Workout | Lottie Murphy</t>
        </is>
      </c>
      <c r="C15" s="36" t="inlineStr">
        <is>
          <t>Lottie Murphy</t>
        </is>
      </c>
      <c r="D15" s="34" t="inlineStr">
        <is>
          <t>Lottie Murphy</t>
        </is>
      </c>
      <c r="E15" s="33" t="inlineStr">
        <is>
          <t>https://www.youtube.com/watch?v=JjgadyBrkrQ</t>
        </is>
      </c>
      <c r="F15" s="35" t="inlineStr">
        <is>
          <t>לא אומת</t>
        </is>
      </c>
      <c r="G15" s="35" t="n">
        <v>10</v>
      </c>
      <c r="H15" s="33" t="inlineStr">
        <is>
          <t>אנגלית</t>
        </is>
      </c>
      <c r="I15" s="34" t="inlineStr">
        <is>
          <t>תרגיל</t>
        </is>
      </c>
      <c r="J15" s="34" t="inlineStr">
        <is>
          <t>טבעת פילאטיס (Ring)</t>
        </is>
      </c>
      <c r="K15" s="34" t="inlineStr">
        <is>
          <t>בינוני</t>
        </is>
      </c>
      <c r="L15" s="34" t="inlineStr">
        <is>
          <t>חיזוק</t>
        </is>
      </c>
      <c r="M15" s="34" t="inlineStr">
        <is>
          <t>ישבן ורגליים</t>
        </is>
      </c>
      <c r="N15" s="35" t="n">
        <v>4</v>
      </c>
      <c r="O15" s="35" t="n">
        <v>4</v>
      </c>
      <c r="P15" s="35" t="n">
        <v>4</v>
      </c>
      <c r="Q15" s="35" t="n">
        <v>5</v>
      </c>
      <c r="R15" s="35" t="n">
        <v>4</v>
      </c>
      <c r="S15" s="35" t="n">
        <v>5</v>
      </c>
      <c r="T15" s="33" t="n">
        <v>4.3</v>
      </c>
      <c r="U15" s="33" t="inlineStr">
        <is>
          <t>לכלול בקטלוג</t>
        </is>
      </c>
      <c r="V15" s="36" t="inlineStr">
        <is>
          <t>ערוץ כבר מאושר ברשימת 'ערוצים מאושרים'.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6" ht="13.5" customHeight="1" s="25">
      <c r="A16" s="33" t="n">
        <v>15</v>
      </c>
      <c r="B16" s="36" t="inlineStr">
        <is>
          <t>Resistance Band Pilates Workout | Arms, Butt, Abs | 15 Minute Routine | Lottie Murphy</t>
        </is>
      </c>
      <c r="C16" s="36" t="inlineStr">
        <is>
          <t>Lottie Murphy</t>
        </is>
      </c>
      <c r="D16" s="34" t="inlineStr">
        <is>
          <t>Lottie Murphy</t>
        </is>
      </c>
      <c r="E16" s="33" t="inlineStr">
        <is>
          <t>https://www.youtube.com/watch?v=9XcqB-p14Ak</t>
        </is>
      </c>
      <c r="F16" s="35" t="inlineStr">
        <is>
          <t>לא אומת</t>
        </is>
      </c>
      <c r="G16" s="35" t="n">
        <v>15</v>
      </c>
      <c r="H16" s="33" t="inlineStr">
        <is>
          <t>אנגלית</t>
        </is>
      </c>
      <c r="I16" s="34" t="inlineStr">
        <is>
          <t>תרגיל</t>
        </is>
      </c>
      <c r="J16" s="34" t="inlineStr">
        <is>
          <t>גומיית רצועה ארוכה</t>
        </is>
      </c>
      <c r="K16" s="34" t="inlineStr">
        <is>
          <t>בינוני</t>
        </is>
      </c>
      <c r="L16" s="34" t="inlineStr">
        <is>
          <t>חיזוק</t>
        </is>
      </c>
      <c r="M16" s="34" t="inlineStr">
        <is>
          <t>כתפיים וזרועות / ישבן ורגליים / בטן וליבה</t>
        </is>
      </c>
      <c r="N16" s="35" t="n">
        <v>4</v>
      </c>
      <c r="O16" s="35" t="n">
        <v>4</v>
      </c>
      <c r="P16" s="35" t="n">
        <v>4</v>
      </c>
      <c r="Q16" s="35" t="n">
        <v>5</v>
      </c>
      <c r="R16" s="35" t="n">
        <v>4</v>
      </c>
      <c r="S16" s="35" t="n">
        <v>5</v>
      </c>
      <c r="T16" s="33" t="n">
        <v>4.3</v>
      </c>
      <c r="U16" s="33" t="inlineStr">
        <is>
          <t>לכלול בקטלוג</t>
        </is>
      </c>
      <c r="V16" s="36" t="inlineStr">
        <is>
          <t>ערוץ כבר מאושר ברשימת 'ערוצים מאושרים'.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7" ht="13.5" customHeight="1" s="25">
      <c r="A17" s="33" t="n">
        <v>16</v>
      </c>
      <c r="B17" s="36" t="inlineStr">
        <is>
          <t>Full Body Resistance Band Workout | 30 Mins | Beginner Friendly Pilates</t>
        </is>
      </c>
      <c r="C17" s="36" t="inlineStr">
        <is>
          <t>The Girl With The Pilates Mat</t>
        </is>
      </c>
      <c r="D17" s="34" t="inlineStr">
        <is>
          <t>The Girl With The Pilates Mat</t>
        </is>
      </c>
      <c r="E17" s="33" t="inlineStr">
        <is>
          <t>https://www.youtube.com/watch?v=NUCrEf4JTTc</t>
        </is>
      </c>
      <c r="F17" s="35" t="inlineStr">
        <is>
          <t>לא אומת</t>
        </is>
      </c>
      <c r="G17" s="35" t="n">
        <v>30</v>
      </c>
      <c r="H17" s="33" t="inlineStr">
        <is>
          <t>אנגלית</t>
        </is>
      </c>
      <c r="I17" s="34" t="inlineStr">
        <is>
          <t>שיעור</t>
        </is>
      </c>
      <c r="J17" s="34" t="inlineStr">
        <is>
          <t>גומיית רצועה ארוכה</t>
        </is>
      </c>
      <c r="K17" s="34" t="inlineStr">
        <is>
          <t>מתחילים</t>
        </is>
      </c>
      <c r="L17" s="34" t="inlineStr">
        <is>
          <t>חיזוק</t>
        </is>
      </c>
      <c r="M17" s="34" t="inlineStr">
        <is>
          <t>גוף מלא</t>
        </is>
      </c>
      <c r="N17" s="35" t="n">
        <v>3</v>
      </c>
      <c r="O17" s="35" t="n">
        <v>4</v>
      </c>
      <c r="P17" s="35" t="n">
        <v>4</v>
      </c>
      <c r="Q17" s="35" t="n">
        <v>5</v>
      </c>
      <c r="R17" s="35" t="n">
        <v>4</v>
      </c>
      <c r="S17" s="35" t="n">
        <v>5</v>
      </c>
      <c r="T17" s="33" t="n">
        <v>4.2</v>
      </c>
      <c r="U17" s="33" t="inlineStr">
        <is>
          <t>לכלול בקטלוג</t>
        </is>
      </c>
      <c r="V17"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8" ht="13.5" customHeight="1" s="25">
      <c r="A18" s="33" t="n">
        <v>17</v>
      </c>
      <c r="B18" s="36" t="inlineStr">
        <is>
          <t>Pilates Resistance Band Workout | 40 Minute at Home Pilates Workout</t>
        </is>
      </c>
      <c r="C18" s="36" t="inlineStr">
        <is>
          <t>Trifecta Pilates</t>
        </is>
      </c>
      <c r="D18" s="34" t="inlineStr">
        <is>
          <t>Trifecta Pilates</t>
        </is>
      </c>
      <c r="E18" s="33" t="inlineStr">
        <is>
          <t>https://www.youtube.com/watch?v=zKVTTrSg910</t>
        </is>
      </c>
      <c r="F18" s="35" t="inlineStr">
        <is>
          <t>לא אומת</t>
        </is>
      </c>
      <c r="G18" s="35" t="n">
        <v>40</v>
      </c>
      <c r="H18" s="33" t="inlineStr">
        <is>
          <t>אנגלית</t>
        </is>
      </c>
      <c r="I18" s="34" t="inlineStr">
        <is>
          <t>שיעור</t>
        </is>
      </c>
      <c r="J18" s="34" t="inlineStr">
        <is>
          <t>גומיית רצועה ארוכה</t>
        </is>
      </c>
      <c r="K18" s="34" t="inlineStr">
        <is>
          <t>מתקדם</t>
        </is>
      </c>
      <c r="L18" s="34" t="inlineStr">
        <is>
          <t>חיזוק, גמישות ומתיחה</t>
        </is>
      </c>
      <c r="M18" s="34" t="inlineStr">
        <is>
          <t>גוף מלא</t>
        </is>
      </c>
      <c r="N18" s="35" t="n">
        <v>3</v>
      </c>
      <c r="O18" s="35" t="n">
        <v>4</v>
      </c>
      <c r="P18" s="35" t="n">
        <v>3</v>
      </c>
      <c r="Q18" s="35" t="n">
        <v>4</v>
      </c>
      <c r="R18" s="35" t="n">
        <v>4</v>
      </c>
      <c r="S18" s="35" t="n">
        <v>5</v>
      </c>
      <c r="T18" s="33" t="n">
        <v>3.8</v>
      </c>
      <c r="U18" s="33" t="inlineStr">
        <is>
          <t>לכלול בקטלוג</t>
        </is>
      </c>
      <c r="V18" s="36" t="inlineStr">
        <is>
          <t>ערוץ כבר קיים ברשימת 'ערוצים מאושרים' בסטטוס 'לבדוק ידנית' - הכשרה לא מאומתת.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9" ht="13.5" customHeight="1" s="25">
      <c r="A19" s="33" t="n">
        <v>18</v>
      </c>
      <c r="B19" s="36" t="inlineStr">
        <is>
          <t>Pilates Full Body Workout with the Resistance Band | 30 Minutes</t>
        </is>
      </c>
      <c r="C19" s="36" t="inlineStr">
        <is>
          <t>The Girl With The Pilates Mat</t>
        </is>
      </c>
      <c r="D19" s="34" t="inlineStr">
        <is>
          <t>The Girl With The Pilates Mat</t>
        </is>
      </c>
      <c r="E19" s="33" t="inlineStr">
        <is>
          <t>https://www.youtube.com/watch?v=8_g8ki259V8</t>
        </is>
      </c>
      <c r="F19" s="35" t="inlineStr">
        <is>
          <t>לא אומת</t>
        </is>
      </c>
      <c r="G19" s="35" t="n">
        <v>30</v>
      </c>
      <c r="H19" s="33" t="inlineStr">
        <is>
          <t>אנגלית</t>
        </is>
      </c>
      <c r="I19" s="34" t="inlineStr">
        <is>
          <t>שיעור</t>
        </is>
      </c>
      <c r="J19" s="34" t="inlineStr">
        <is>
          <t>גומיית רצועה ארוכה</t>
        </is>
      </c>
      <c r="K19" s="34" t="inlineStr">
        <is>
          <t>בינוני</t>
        </is>
      </c>
      <c r="L19" s="34" t="inlineStr">
        <is>
          <t>חיזוק</t>
        </is>
      </c>
      <c r="M19" s="34" t="inlineStr">
        <is>
          <t>גוף מלא</t>
        </is>
      </c>
      <c r="N19" s="35" t="n">
        <v>3</v>
      </c>
      <c r="O19" s="35" t="n">
        <v>4</v>
      </c>
      <c r="P19" s="35" t="n">
        <v>4</v>
      </c>
      <c r="Q19" s="35" t="n">
        <v>5</v>
      </c>
      <c r="R19" s="35" t="n">
        <v>4</v>
      </c>
      <c r="S19" s="35" t="n">
        <v>5</v>
      </c>
      <c r="T19" s="33" t="n">
        <v>4.2</v>
      </c>
      <c r="U19" s="33" t="inlineStr">
        <is>
          <t>לכלול בקטלוג</t>
        </is>
      </c>
      <c r="V19"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20" ht="13.5" customHeight="1" s="25">
      <c r="A20" s="33" t="n">
        <v>19</v>
      </c>
      <c r="B20" s="36" t="inlineStr">
        <is>
          <t>30-Min Full Body Pilates Workout | Pilates Ball, Ankle Weights &amp; Resistance Band</t>
        </is>
      </c>
      <c r="C20" s="36" t="inlineStr">
        <is>
          <t>Keel Pilates</t>
        </is>
      </c>
      <c r="D20" s="34" t="inlineStr">
        <is>
          <t>Keel Pilates</t>
        </is>
      </c>
      <c r="E20" s="33" t="inlineStr">
        <is>
          <t>https://www.youtube.com/watch?v=oDAFJJHPXp8</t>
        </is>
      </c>
      <c r="F20" s="35" t="inlineStr">
        <is>
          <t>לא אומת</t>
        </is>
      </c>
      <c r="G20" s="35" t="n">
        <v>30</v>
      </c>
      <c r="H20" s="33" t="inlineStr">
        <is>
          <t>אנגלית</t>
        </is>
      </c>
      <c r="I20" s="34" t="inlineStr">
        <is>
          <t>שיעור</t>
        </is>
      </c>
      <c r="J20" s="34" t="inlineStr">
        <is>
          <t>כדור קטן, גומיית רצועה ארוכה</t>
        </is>
      </c>
      <c r="K20" s="34" t="inlineStr">
        <is>
          <t>בינוני</t>
        </is>
      </c>
      <c r="L20" s="34" t="inlineStr">
        <is>
          <t>חיזוק</t>
        </is>
      </c>
      <c r="M20" s="34" t="inlineStr">
        <is>
          <t>גוף מלא</t>
        </is>
      </c>
      <c r="N20" s="35" t="n">
        <v>3</v>
      </c>
      <c r="O20" s="35" t="n">
        <v>4</v>
      </c>
      <c r="P20" s="35" t="n">
        <v>4</v>
      </c>
      <c r="Q20" s="35" t="n">
        <v>4</v>
      </c>
      <c r="R20" s="35" t="n">
        <v>4</v>
      </c>
      <c r="S20" s="35" t="n">
        <v>5</v>
      </c>
      <c r="T20" s="33" t="n">
        <v>4</v>
      </c>
      <c r="U20" s="33" t="inlineStr">
        <is>
          <t>לכלול בקטלוג</t>
        </is>
      </c>
      <c r="V20"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21" ht="13.5" customHeight="1" s="25">
      <c r="A21" s="33" t="n">
        <v>20</v>
      </c>
      <c r="B21" s="36" t="inlineStr">
        <is>
          <t>Pilates Flow for Beginners with Resistance Band | 20 min Resistance Band Pilates</t>
        </is>
      </c>
      <c r="C21" s="36" t="inlineStr">
        <is>
          <t>The Girl With The Pilates Mat</t>
        </is>
      </c>
      <c r="D21" s="34" t="inlineStr">
        <is>
          <t>The Girl With The Pilates Mat</t>
        </is>
      </c>
      <c r="E21" s="33" t="inlineStr">
        <is>
          <t>https://www.youtube.com/watch?v=wuVQDwUL9fs</t>
        </is>
      </c>
      <c r="F21" s="35" t="inlineStr">
        <is>
          <t>לא אומת</t>
        </is>
      </c>
      <c r="G21" s="35" t="n">
        <v>20</v>
      </c>
      <c r="H21" s="33" t="inlineStr">
        <is>
          <t>אנגלית</t>
        </is>
      </c>
      <c r="I21" s="34" t="inlineStr">
        <is>
          <t>שיעור</t>
        </is>
      </c>
      <c r="J21" s="34" t="inlineStr">
        <is>
          <t>גומיית רצועה ארוכה</t>
        </is>
      </c>
      <c r="K21" s="34" t="inlineStr">
        <is>
          <t>מתחילים</t>
        </is>
      </c>
      <c r="L21" s="34" t="inlineStr">
        <is>
          <t>חיזוק, גמישות ומתיחה</t>
        </is>
      </c>
      <c r="M21" s="34" t="inlineStr">
        <is>
          <t>גוף מלא</t>
        </is>
      </c>
      <c r="N21" s="35" t="n">
        <v>3</v>
      </c>
      <c r="O21" s="35" t="n">
        <v>4</v>
      </c>
      <c r="P21" s="35" t="n">
        <v>4</v>
      </c>
      <c r="Q21" s="35" t="n">
        <v>5</v>
      </c>
      <c r="R21" s="35" t="n">
        <v>4</v>
      </c>
      <c r="S21" s="35" t="n">
        <v>5</v>
      </c>
      <c r="T21" s="33" t="n">
        <v>4.2</v>
      </c>
      <c r="U21" s="33" t="inlineStr">
        <is>
          <t>לכלול בקטלוג</t>
        </is>
      </c>
      <c r="V21" s="36" t="inlineStr">
        <is>
          <t>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22" ht="13.5" customHeight="1" s="25">
      <c r="A22" s="33" t="n">
        <v>21</v>
      </c>
      <c r="B22" s="36" t="inlineStr">
        <is>
          <t>10 Minute Pilates Back Workout - Upper and Lower Back Workout!</t>
        </is>
      </c>
      <c r="C22" s="36" t="inlineStr">
        <is>
          <t>Jessica Valant</t>
        </is>
      </c>
      <c r="D22" s="34" t="inlineStr">
        <is>
          <t>Jessica Valant Pilates</t>
        </is>
      </c>
      <c r="E22" s="33" t="inlineStr">
        <is>
          <t>https://www.youtube.com/watch?v=ChYOlljDZ8s</t>
        </is>
      </c>
      <c r="F22" s="35" t="inlineStr">
        <is>
          <t>לא אומת</t>
        </is>
      </c>
      <c r="G22" s="35" t="n">
        <v>12</v>
      </c>
      <c r="H22" s="33" t="inlineStr">
        <is>
          <t>אנגלית</t>
        </is>
      </c>
      <c r="I22" s="34" t="inlineStr">
        <is>
          <t>תרגיל</t>
        </is>
      </c>
      <c r="J22" s="34" t="inlineStr">
        <is>
          <t>ללא ציוד</t>
        </is>
      </c>
      <c r="K22" s="34" t="inlineStr">
        <is>
          <t>מתחילים</t>
        </is>
      </c>
      <c r="L22" s="34" t="inlineStr">
        <is>
          <t>יציבה ויישור</t>
        </is>
      </c>
      <c r="M22" s="34" t="inlineStr">
        <is>
          <t>גב ויציבה</t>
        </is>
      </c>
      <c r="N22" s="35" t="n">
        <v>5</v>
      </c>
      <c r="O22" s="35" t="n">
        <v>4</v>
      </c>
      <c r="P22" s="35" t="n">
        <v>5</v>
      </c>
      <c r="Q22" s="35" t="n">
        <v>5</v>
      </c>
      <c r="R22" s="35" t="n">
        <v>4</v>
      </c>
      <c r="S22" s="35" t="n">
        <v>5</v>
      </c>
      <c r="T22" s="33" t="n">
        <v>4.7</v>
      </c>
      <c r="U22" s="33" t="inlineStr">
        <is>
          <t>לכלול בקטלוג</t>
        </is>
      </c>
      <c r="V22" s="36" t="inlineStr">
        <is>
          <t>ערוץ מאושר (פיזיותרפיסטית מוסמכת). [נמצא ונוסף ע"י Claude, 29.08.2026: קיום/כותרת/ערוץ/משך זמן אומתו מול YouTube בפועל (oembed + lengthSeconds); לא נצפה תוכן במלואו.]</t>
        </is>
      </c>
    </row>
    <row r="23" ht="13.5" customHeight="1" s="25">
      <c r="A23" s="33" t="n">
        <v>22</v>
      </c>
      <c r="B23" s="36" t="inlineStr">
        <is>
          <t>Back Pain Relief Exercises - 10 Minute Pilates for Back Pain!</t>
        </is>
      </c>
      <c r="C23" s="36" t="inlineStr">
        <is>
          <t>Jessica Valant</t>
        </is>
      </c>
      <c r="D23" s="34" t="inlineStr">
        <is>
          <t>Jessica Valant Pilates</t>
        </is>
      </c>
      <c r="E23" s="33" t="inlineStr">
        <is>
          <t>https://www.youtube.com/watch?v=i-VOH-3fTMk</t>
        </is>
      </c>
      <c r="F23" s="35" t="inlineStr">
        <is>
          <t>לא אומת</t>
        </is>
      </c>
      <c r="G23" s="35" t="n">
        <v>11</v>
      </c>
      <c r="H23" s="33" t="inlineStr">
        <is>
          <t>אנגלית</t>
        </is>
      </c>
      <c r="I23" s="34" t="inlineStr">
        <is>
          <t>תרגיל</t>
        </is>
      </c>
      <c r="J23" s="34" t="inlineStr">
        <is>
          <t>ללא ציוד</t>
        </is>
      </c>
      <c r="K23" s="34" t="inlineStr">
        <is>
          <t>מתחילים</t>
        </is>
      </c>
      <c r="L23" s="34" t="inlineStr">
        <is>
          <t>יציבה ויישור</t>
        </is>
      </c>
      <c r="M23" s="34" t="inlineStr">
        <is>
          <t>גב ויציבה</t>
        </is>
      </c>
      <c r="N23" s="35" t="n">
        <v>5</v>
      </c>
      <c r="O23" s="35" t="n">
        <v>4</v>
      </c>
      <c r="P23" s="35" t="n">
        <v>5</v>
      </c>
      <c r="Q23" s="35" t="n">
        <v>5</v>
      </c>
      <c r="R23" s="35" t="n">
        <v>4</v>
      </c>
      <c r="S23" s="35" t="n">
        <v>5</v>
      </c>
      <c r="T23" s="33" t="n">
        <v>4.7</v>
      </c>
      <c r="U23" s="33" t="inlineStr">
        <is>
          <t>לכלול בקטלוג</t>
        </is>
      </c>
      <c r="V23" s="36" t="inlineStr">
        <is>
          <t>ערוץ מאושר (פיזיותרפיסטית מוסמכת). [נמצא ונוסף ע"י Claude, 29.08.2026: קיום/כותרת/ערוץ/משך זמן אומתו מול YouTube בפועל (oembed + lengthSeconds); לא נצפה תוכן במלואו.]</t>
        </is>
      </c>
    </row>
    <row r="24" ht="13.5" customHeight="1" s="25">
      <c r="A24" s="33" t="n">
        <v>23</v>
      </c>
      <c r="B24" s="36" t="inlineStr">
        <is>
          <t>Pilates for Back Pain - 10 Minute Back Pain Relief Exercises at Home</t>
        </is>
      </c>
      <c r="C24" s="36" t="inlineStr">
        <is>
          <t>Jessica Valant</t>
        </is>
      </c>
      <c r="D24" s="34" t="inlineStr">
        <is>
          <t>Jessica Valant Pilates</t>
        </is>
      </c>
      <c r="E24" s="33" t="inlineStr">
        <is>
          <t>https://www.youtube.com/watch?v=NJQH4C5M6b0</t>
        </is>
      </c>
      <c r="F24" s="35" t="inlineStr">
        <is>
          <t>לא אומת</t>
        </is>
      </c>
      <c r="G24" s="35" t="n">
        <v>13</v>
      </c>
      <c r="H24" s="33" t="inlineStr">
        <is>
          <t>אנגלית</t>
        </is>
      </c>
      <c r="I24" s="34" t="inlineStr">
        <is>
          <t>תרגיל</t>
        </is>
      </c>
      <c r="J24" s="34" t="inlineStr">
        <is>
          <t>ללא ציוד</t>
        </is>
      </c>
      <c r="K24" s="34" t="inlineStr">
        <is>
          <t>בינוני</t>
        </is>
      </c>
      <c r="L24" s="34" t="inlineStr">
        <is>
          <t>יציבה ויישור</t>
        </is>
      </c>
      <c r="M24" s="34" t="inlineStr">
        <is>
          <t>גב ויציבה</t>
        </is>
      </c>
      <c r="N24" s="35" t="n">
        <v>5</v>
      </c>
      <c r="O24" s="35" t="n">
        <v>4</v>
      </c>
      <c r="P24" s="35" t="n">
        <v>5</v>
      </c>
      <c r="Q24" s="35" t="n">
        <v>5</v>
      </c>
      <c r="R24" s="35" t="n">
        <v>4</v>
      </c>
      <c r="S24" s="35" t="n">
        <v>5</v>
      </c>
      <c r="T24" s="33" t="n">
        <v>4.7</v>
      </c>
      <c r="U24" s="33" t="inlineStr">
        <is>
          <t>לכלול בקטלוג</t>
        </is>
      </c>
      <c r="V24" s="36" t="inlineStr">
        <is>
          <t>ערוץ מאושר (פיזיותרפיסטית מוסמכת). [נמצא ונוסף ע"י Claude, 29.08.2026: קיום/כותרת/ערוץ/משך זמן אומתו מול YouTube בפועל (oembed + lengthSeconds); לא נצפה תוכן במלואו.]</t>
        </is>
      </c>
    </row>
    <row r="25" ht="13.5" customHeight="1" s="25">
      <c r="A25" s="33" t="n">
        <v>24</v>
      </c>
      <c r="B25" s="36" t="inlineStr">
        <is>
          <t>50 Butt Exercises - different glute enhancing variations, no equipment!</t>
        </is>
      </c>
      <c r="C25" s="36" t="inlineStr">
        <is>
          <t>Cassey Ho</t>
        </is>
      </c>
      <c r="D25" s="34" t="inlineStr">
        <is>
          <t>Blogilates (Cassey Ho)</t>
        </is>
      </c>
      <c r="E25" s="33" t="inlineStr">
        <is>
          <t>https://www.youtube.com/watch?v=2ljHZK2siCE</t>
        </is>
      </c>
      <c r="F25" s="35" t="inlineStr">
        <is>
          <t>לא אומת</t>
        </is>
      </c>
      <c r="G25" s="35" t="n">
        <v>3</v>
      </c>
      <c r="H25" s="33" t="inlineStr">
        <is>
          <t>אנגלית</t>
        </is>
      </c>
      <c r="I25" s="34" t="inlineStr">
        <is>
          <t>תרגיל</t>
        </is>
      </c>
      <c r="J25" s="34" t="inlineStr">
        <is>
          <t>ללא ציוד</t>
        </is>
      </c>
      <c r="K25" s="34" t="inlineStr">
        <is>
          <t>מתחילים</t>
        </is>
      </c>
      <c r="L25" s="34" t="inlineStr">
        <is>
          <t>חיזוק</t>
        </is>
      </c>
      <c r="M25" s="34" t="inlineStr">
        <is>
          <t>ישבן ורגליים</t>
        </is>
      </c>
      <c r="N25" s="35" t="n">
        <v>5</v>
      </c>
      <c r="O25" s="35" t="n">
        <v>4</v>
      </c>
      <c r="P25" s="35" t="n">
        <v>4</v>
      </c>
      <c r="Q25" s="35" t="n">
        <v>4</v>
      </c>
      <c r="R25" s="35" t="n">
        <v>4</v>
      </c>
      <c r="S25" s="35" t="n">
        <v>5</v>
      </c>
      <c r="T25" s="33" t="n">
        <v>4.3</v>
      </c>
      <c r="U25" s="33" t="inlineStr">
        <is>
          <t>לכלול בקטלוג</t>
        </is>
      </c>
      <c r="V25" s="36" t="inlineStr">
        <is>
          <t>וידאו קצר (הדגמה מהירה של 50 וריאציות, לא אימון מלא). [נמצא ונוסף ע"י Claude, 29.08.2026: קיום/כותרת/ערוץ/משך זמן אומתו מול YouTube בפועל (oembed + lengthSeconds); לא נצפה תוכן במלואו.]</t>
        </is>
      </c>
    </row>
    <row r="26" ht="13.5" customHeight="1" s="25">
      <c r="A26" s="33" t="n">
        <v>25</v>
      </c>
      <c r="B26" s="36" t="inlineStr">
        <is>
          <t>Ultimate Pilates Toning Workout | 30 Minutes Abs, Glutes, Back</t>
        </is>
      </c>
      <c r="C26" s="36" t="inlineStr">
        <is>
          <t>Lottie Murphy</t>
        </is>
      </c>
      <c r="D26" s="34" t="inlineStr">
        <is>
          <t>Lottie Murphy</t>
        </is>
      </c>
      <c r="E26" s="33" t="inlineStr">
        <is>
          <t>https://www.youtube.com/watch?v=FQRoS0KsQBo</t>
        </is>
      </c>
      <c r="F26" s="35" t="inlineStr">
        <is>
          <t>לא אומת</t>
        </is>
      </c>
      <c r="G26" s="35" t="n">
        <v>34</v>
      </c>
      <c r="H26" s="33" t="inlineStr">
        <is>
          <t>אנגלית</t>
        </is>
      </c>
      <c r="I26" s="34" t="inlineStr">
        <is>
          <t>תרגיל</t>
        </is>
      </c>
      <c r="J26" s="34" t="inlineStr">
        <is>
          <t>ללא ציוד</t>
        </is>
      </c>
      <c r="K26" s="34" t="inlineStr">
        <is>
          <t>מתחילים</t>
        </is>
      </c>
      <c r="L26" s="34" t="inlineStr">
        <is>
          <t>חיזוק</t>
        </is>
      </c>
      <c r="M26" s="34" t="inlineStr">
        <is>
          <t>ישבן ורגליים</t>
        </is>
      </c>
      <c r="N26" s="35" t="n">
        <v>4</v>
      </c>
      <c r="O26" s="35" t="n">
        <v>4</v>
      </c>
      <c r="P26" s="35" t="n">
        <v>4</v>
      </c>
      <c r="Q26" s="35" t="n">
        <v>4</v>
      </c>
      <c r="R26" s="35" t="n">
        <v>4</v>
      </c>
      <c r="S26" s="35" t="n">
        <v>5</v>
      </c>
      <c r="T26" s="33" t="n">
        <v>4.2</v>
      </c>
      <c r="U26" s="33" t="inlineStr">
        <is>
          <t>לכלול בקטלוג</t>
        </is>
      </c>
      <c r="V26" s="36" t="inlineStr">
        <is>
          <t>ערוץ מאושר. [נמצא ונוסף ע"י Claude, 29.08.2026: קיום/כותרת/ערוץ/משך זמן אומתו מול YouTube בפועל (oembed + lengthSeconds); לא נצפה תוכן במלואו.]</t>
        </is>
      </c>
    </row>
    <row r="27" ht="13.5" customHeight="1" s="25">
      <c r="A27" s="33" t="n">
        <v>26</v>
      </c>
      <c r="B27" s="36" t="inlineStr">
        <is>
          <t>Pilates for Beginners - 10 Minute Pilates Workout!</t>
        </is>
      </c>
      <c r="C27" s="36" t="inlineStr">
        <is>
          <t>Jessica Valant</t>
        </is>
      </c>
      <c r="D27" s="34" t="inlineStr">
        <is>
          <t>Jessica Valant Pilates</t>
        </is>
      </c>
      <c r="E27" s="33" t="inlineStr">
        <is>
          <t>https://www.youtube.com/watch?v=i1AIqSvfnWQ</t>
        </is>
      </c>
      <c r="F27" s="35" t="inlineStr">
        <is>
          <t>לא אומת</t>
        </is>
      </c>
      <c r="G27" s="35" t="n">
        <v>11</v>
      </c>
      <c r="H27" s="33" t="inlineStr">
        <is>
          <t>אנגלית</t>
        </is>
      </c>
      <c r="I27" s="34" t="inlineStr">
        <is>
          <t>תרגיל</t>
        </is>
      </c>
      <c r="J27" s="34" t="inlineStr">
        <is>
          <t>ללא ציוד</t>
        </is>
      </c>
      <c r="K27" s="34" t="inlineStr">
        <is>
          <t>מתחילים</t>
        </is>
      </c>
      <c r="L27" s="34" t="inlineStr">
        <is>
          <t>חיזוק</t>
        </is>
      </c>
      <c r="M27" s="34" t="inlineStr">
        <is>
          <t>ישבן ורגליים</t>
        </is>
      </c>
      <c r="N27" s="35" t="n">
        <v>5</v>
      </c>
      <c r="O27" s="35" t="n">
        <v>4</v>
      </c>
      <c r="P27" s="35" t="n">
        <v>5</v>
      </c>
      <c r="Q27" s="35" t="n">
        <v>4</v>
      </c>
      <c r="R27" s="35" t="n">
        <v>4</v>
      </c>
      <c r="S27" s="35" t="n">
        <v>5</v>
      </c>
      <c r="T27" s="33" t="n">
        <v>4.5</v>
      </c>
      <c r="U27" s="33" t="inlineStr">
        <is>
          <t>לכלול בקטלוג</t>
        </is>
      </c>
      <c r="V27" s="36" t="inlineStr">
        <is>
          <t>ערוץ מאושר (פיזיותרפיסטית מוסמכת). [נמצא ונוסף ע"י Claude, 29.08.2026: קיום/כותרת/ערוץ/משך זמן אומתו מול YouTube בפועל (oembed + lengthSeconds); לא נצפה תוכן במלואו.]</t>
        </is>
      </c>
    </row>
    <row r="28" ht="13.5" customHeight="1" s="25">
      <c r="A28" s="33" t="n">
        <v>27</v>
      </c>
      <c r="B28" s="36" t="inlineStr">
        <is>
          <t>Body Slimming Workout | POP Pilates for Beginners</t>
        </is>
      </c>
      <c r="C28" s="36" t="inlineStr">
        <is>
          <t>Cassey Ho</t>
        </is>
      </c>
      <c r="D28" s="34" t="inlineStr">
        <is>
          <t>Blogilates (Cassey Ho)</t>
        </is>
      </c>
      <c r="E28" s="33" t="inlineStr">
        <is>
          <t>https://www.youtube.com/watch?v=cyh82HKddUc</t>
        </is>
      </c>
      <c r="F28" s="35" t="inlineStr">
        <is>
          <t>לא אומת</t>
        </is>
      </c>
      <c r="G28" s="35" t="n">
        <v>17</v>
      </c>
      <c r="H28" s="33" t="inlineStr">
        <is>
          <t>אנגלית</t>
        </is>
      </c>
      <c r="I28" s="34" t="inlineStr">
        <is>
          <t>תרגיל</t>
        </is>
      </c>
      <c r="J28" s="34" t="inlineStr">
        <is>
          <t>ללא ציוד</t>
        </is>
      </c>
      <c r="K28" s="34" t="inlineStr">
        <is>
          <t>מתחילים</t>
        </is>
      </c>
      <c r="L28" s="34" t="inlineStr">
        <is>
          <t>חיזוק</t>
        </is>
      </c>
      <c r="M28" s="34" t="inlineStr">
        <is>
          <t>ישבן ורגליים</t>
        </is>
      </c>
      <c r="N28" s="35" t="n">
        <v>5</v>
      </c>
      <c r="O28" s="35" t="n">
        <v>4</v>
      </c>
      <c r="P28" s="35" t="n">
        <v>4</v>
      </c>
      <c r="Q28" s="35" t="n">
        <v>4</v>
      </c>
      <c r="R28" s="35" t="n">
        <v>4</v>
      </c>
      <c r="S28" s="35" t="n">
        <v>5</v>
      </c>
      <c r="T28" s="33" t="n">
        <v>4.3</v>
      </c>
      <c r="U28" s="33" t="inlineStr">
        <is>
          <t>לכלול בקטלוג</t>
        </is>
      </c>
      <c r="V28" s="36" t="inlineStr">
        <is>
          <t>וידאו ותיק (2014); ערוץ מאושר. [נמצא ונוסף ע"י Claude, 29.08.2026: קיום/כותרת/ערוץ/משך זמן אומתו מול YouTube בפועל (oembed + lengthSeconds); לא נצפה תוכן במלואו.]</t>
        </is>
      </c>
    </row>
    <row r="29" ht="13.5" customHeight="1" s="25">
      <c r="A29" s="33" t="n">
        <v>28</v>
      </c>
      <c r="B29" s="36" t="inlineStr">
        <is>
          <t>45 MIN NO EQUIPMENT GLUTES + ABS | Intermediate Level Glute and Core Home Workout</t>
        </is>
      </c>
      <c r="C29" s="36" t="inlineStr">
        <is>
          <t>Izzy Samuel</t>
        </is>
      </c>
      <c r="D29" s="34" t="inlineStr">
        <is>
          <t>PILATES BY IZZY</t>
        </is>
      </c>
      <c r="E29" s="33" t="inlineStr">
        <is>
          <t>https://www.youtube.com/watch?v=TSfv--M7klg</t>
        </is>
      </c>
      <c r="F29" s="35" t="inlineStr">
        <is>
          <t>לא אומת</t>
        </is>
      </c>
      <c r="G29" s="35" t="n">
        <v>44</v>
      </c>
      <c r="H29" s="33" t="inlineStr">
        <is>
          <t>אנגלית</t>
        </is>
      </c>
      <c r="I29" s="34" t="inlineStr">
        <is>
          <t>תרגיל</t>
        </is>
      </c>
      <c r="J29" s="34" t="inlineStr">
        <is>
          <t>ללא ציוד</t>
        </is>
      </c>
      <c r="K29" s="34" t="inlineStr">
        <is>
          <t>בינוני</t>
        </is>
      </c>
      <c r="L29" s="34" t="inlineStr">
        <is>
          <t>חיזוק</t>
        </is>
      </c>
      <c r="M29" s="34" t="inlineStr">
        <is>
          <t>ישבן ורגליים</t>
        </is>
      </c>
      <c r="N29" s="35" t="n">
        <v>4</v>
      </c>
      <c r="O29" s="35" t="n">
        <v>4</v>
      </c>
      <c r="P29" s="35" t="n">
        <v>4</v>
      </c>
      <c r="Q29" s="35" t="n">
        <v>5</v>
      </c>
      <c r="R29" s="35" t="n">
        <v>4</v>
      </c>
      <c r="S29" s="35" t="n">
        <v>5</v>
      </c>
      <c r="T29" s="33" t="n">
        <v>4.3</v>
      </c>
      <c r="U29" s="33" t="inlineStr">
        <is>
          <t>לכלול בקטלוג</t>
        </is>
      </c>
      <c r="V29" s="36" t="inlineStr">
        <is>
          <t>ערוץ חדש בסטטוס 'לבדוק ידנית' - ראו הערה בגיליון ערוצים מאושרים. [נמצא ונוסף ע"י Claude, 29.08.2026: קיום/כותרת/ערוץ/משך זמן אומתו מול YouTube בפועל (oembed + lengthSeconds); לא נצפה תוכן במלואו.]</t>
        </is>
      </c>
    </row>
    <row r="30" ht="13.5" customHeight="1" s="25">
      <c r="A30" s="33" t="n">
        <v>29</v>
      </c>
      <c r="B30" s="36" t="inlineStr">
        <is>
          <t>Glutes Burn and Strong Arms with Mini Band - 25 min Pilates Workout</t>
        </is>
      </c>
      <c r="C30" s="36" t="inlineStr">
        <is>
          <t>Lottie Murphy</t>
        </is>
      </c>
      <c r="D30" s="34" t="inlineStr">
        <is>
          <t>Lottie Murphy</t>
        </is>
      </c>
      <c r="E30" s="33" t="inlineStr">
        <is>
          <t>https://www.youtube.com/watch?v=fCaFvXz1vvM</t>
        </is>
      </c>
      <c r="F30" s="35" t="inlineStr">
        <is>
          <t>לא אומת</t>
        </is>
      </c>
      <c r="G30" s="35" t="n">
        <v>25</v>
      </c>
      <c r="H30" s="33" t="inlineStr">
        <is>
          <t>אנגלית</t>
        </is>
      </c>
      <c r="I30" s="34" t="inlineStr">
        <is>
          <t>תרגיל</t>
        </is>
      </c>
      <c r="J30" s="34" t="inlineStr">
        <is>
          <t>גומיית לולאה</t>
        </is>
      </c>
      <c r="K30" s="34" t="inlineStr">
        <is>
          <t>מתחילים</t>
        </is>
      </c>
      <c r="L30" s="34" t="inlineStr">
        <is>
          <t>חיזוק</t>
        </is>
      </c>
      <c r="M30" s="34" t="inlineStr">
        <is>
          <t>ישבן ורגליים</t>
        </is>
      </c>
      <c r="N30" s="35" t="n">
        <v>4</v>
      </c>
      <c r="O30" s="35" t="n">
        <v>4</v>
      </c>
      <c r="P30" s="35" t="n">
        <v>4</v>
      </c>
      <c r="Q30" s="35" t="n">
        <v>5</v>
      </c>
      <c r="R30" s="35" t="n">
        <v>4</v>
      </c>
      <c r="S30" s="35" t="n">
        <v>5</v>
      </c>
      <c r="T30" s="33" t="n">
        <v>4.3</v>
      </c>
      <c r="U30" s="33" t="inlineStr">
        <is>
          <t>לכלול בקטלוג</t>
        </is>
      </c>
      <c r="V30" s="36" t="inlineStr">
        <is>
          <t>ערוץ מאושר. [נמצא ונוסף ע"י Claude, 29.08.2026: קיום/כותרת/ערוץ/משך זמן אומתו מול YouTube בפועל (oembed + lengthSeconds); לא נצפה תוכן במלואו.]</t>
        </is>
      </c>
    </row>
    <row r="31" ht="13.5" customHeight="1" s="25">
      <c r="A31" s="33" t="n">
        <v>30</v>
      </c>
      <c r="B31" s="36" t="inlineStr">
        <is>
          <t>Toned &amp; Defined Arms Workout! No weights needed!</t>
        </is>
      </c>
      <c r="C31" s="36" t="inlineStr">
        <is>
          <t>Cassey Ho</t>
        </is>
      </c>
      <c r="D31" s="34" t="inlineStr">
        <is>
          <t>Blogilates (Cassey Ho)</t>
        </is>
      </c>
      <c r="E31" s="33" t="inlineStr">
        <is>
          <t>https://www.youtube.com/watch?v=URxquPHLRbs</t>
        </is>
      </c>
      <c r="F31" s="35" t="inlineStr">
        <is>
          <t>לא אומת</t>
        </is>
      </c>
      <c r="G31" s="35" t="n">
        <v>8</v>
      </c>
      <c r="H31" s="33" t="inlineStr">
        <is>
          <t>אנגלית</t>
        </is>
      </c>
      <c r="I31" s="34" t="inlineStr">
        <is>
          <t>תרגיל</t>
        </is>
      </c>
      <c r="J31" s="34" t="inlineStr">
        <is>
          <t>ללא ציוד</t>
        </is>
      </c>
      <c r="K31" s="34" t="inlineStr">
        <is>
          <t>מתחילים</t>
        </is>
      </c>
      <c r="L31" s="34" t="inlineStr">
        <is>
          <t>חיזוק</t>
        </is>
      </c>
      <c r="M31" s="34" t="inlineStr">
        <is>
          <t>כתפיים וזרועות</t>
        </is>
      </c>
      <c r="N31" s="35" t="n">
        <v>5</v>
      </c>
      <c r="O31" s="35" t="n">
        <v>4</v>
      </c>
      <c r="P31" s="35" t="n">
        <v>4</v>
      </c>
      <c r="Q31" s="35" t="n">
        <v>5</v>
      </c>
      <c r="R31" s="35" t="n">
        <v>4</v>
      </c>
      <c r="S31" s="35" t="n">
        <v>5</v>
      </c>
      <c r="T31" s="33" t="n">
        <v>4.5</v>
      </c>
      <c r="U31" s="33" t="inlineStr">
        <is>
          <t>לכלול בקטלוג</t>
        </is>
      </c>
      <c r="V31" s="36" t="inlineStr">
        <is>
          <t>ערוץ מאושר; וידאו ותיק (2016). [נמצא ונוסף ע"י Claude, 29.08.2026: קיום/כותרת/ערוץ/משך זמן אומתו מול YouTube בפועל (oembed + lengthSeconds); לא נצפה תוכן במלואו.]</t>
        </is>
      </c>
    </row>
    <row r="32" ht="13.5" customHeight="1" s="25">
      <c r="A32" s="33" t="n">
        <v>31</v>
      </c>
      <c r="B32" s="36" t="inlineStr">
        <is>
          <t>The Best Body Slimming Workout | POP Pilates Top Hits</t>
        </is>
      </c>
      <c r="C32" s="36" t="inlineStr">
        <is>
          <t>Cassey Ho</t>
        </is>
      </c>
      <c r="D32" s="34" t="inlineStr">
        <is>
          <t>Blogilates (Cassey Ho)</t>
        </is>
      </c>
      <c r="E32" s="33" t="inlineStr">
        <is>
          <t>https://www.youtube.com/watch?v=aE4j3KR5m54</t>
        </is>
      </c>
      <c r="F32" s="35" t="inlineStr">
        <is>
          <t>לא אומת</t>
        </is>
      </c>
      <c r="G32" s="35" t="n">
        <v>15</v>
      </c>
      <c r="H32" s="33" t="inlineStr">
        <is>
          <t>אנגלית</t>
        </is>
      </c>
      <c r="I32" s="34" t="inlineStr">
        <is>
          <t>תרגיל</t>
        </is>
      </c>
      <c r="J32" s="34" t="inlineStr">
        <is>
          <t>ללא ציוד</t>
        </is>
      </c>
      <c r="K32" s="34" t="inlineStr">
        <is>
          <t>מתחילים</t>
        </is>
      </c>
      <c r="L32" s="34" t="inlineStr">
        <is>
          <t>חיזוק</t>
        </is>
      </c>
      <c r="M32" s="34" t="inlineStr">
        <is>
          <t>גוף מלא</t>
        </is>
      </c>
      <c r="N32" s="35" t="n">
        <v>5</v>
      </c>
      <c r="O32" s="35" t="n">
        <v>4</v>
      </c>
      <c r="P32" s="35" t="n">
        <v>4</v>
      </c>
      <c r="Q32" s="35" t="n">
        <v>4</v>
      </c>
      <c r="R32" s="35" t="n">
        <v>4</v>
      </c>
      <c r="S32" s="35" t="n">
        <v>5</v>
      </c>
      <c r="T32" s="33" t="n">
        <v>4.3</v>
      </c>
      <c r="U32" s="33" t="inlineStr">
        <is>
          <t>לכלול בקטלוג</t>
        </is>
      </c>
      <c r="V32" s="36" t="inlineStr">
        <is>
          <t>ערוץ מאושר; קומפילציית 'שיאים' - זרועות/בטן/ישבן/רגליים. [נמצא ונוסף ע"י Claude, 29.08.2026: קיום/כותרת/ערוץ/משך זמן אומתו מול YouTube בפועל (oembed + lengthSeconds); לא נצפה תוכן במלואו.]</t>
        </is>
      </c>
    </row>
    <row r="33" ht="13.5" customHeight="1" s="25">
      <c r="A33" s="33" t="n">
        <v>32</v>
      </c>
      <c r="B33" s="36" t="inlineStr">
        <is>
          <t>10-Min Pilates with Mini Band</t>
        </is>
      </c>
      <c r="C33" s="36" t="inlineStr">
        <is>
          <t>Lottie Murphy</t>
        </is>
      </c>
      <c r="D33" s="34" t="inlineStr">
        <is>
          <t>Lottie Murphy</t>
        </is>
      </c>
      <c r="E33" s="33" t="inlineStr">
        <is>
          <t>https://www.youtube.com/watch?v=Kf9oqHh_L8Y</t>
        </is>
      </c>
      <c r="F33" s="35" t="inlineStr">
        <is>
          <t>לא אומת</t>
        </is>
      </c>
      <c r="G33" s="35" t="n">
        <v>10</v>
      </c>
      <c r="H33" s="33" t="inlineStr">
        <is>
          <t>אנגלית</t>
        </is>
      </c>
      <c r="I33" s="34" t="inlineStr">
        <is>
          <t>שיעור</t>
        </is>
      </c>
      <c r="J33" s="34" t="inlineStr">
        <is>
          <t>גומיית לולאה</t>
        </is>
      </c>
      <c r="K33" s="34" t="inlineStr">
        <is>
          <t>מתחילים</t>
        </is>
      </c>
      <c r="L33" s="34" t="inlineStr">
        <is>
          <t>פילאטיס בסיסי / חיזוק כללי</t>
        </is>
      </c>
      <c r="M33" s="34" t="inlineStr">
        <is>
          <t>גוף מלא</t>
        </is>
      </c>
      <c r="N33" s="35" t="n">
        <v>4</v>
      </c>
      <c r="O33" s="35" t="n">
        <v>4</v>
      </c>
      <c r="P33" s="35" t="n">
        <v>4</v>
      </c>
      <c r="Q33" s="35" t="n">
        <v>5</v>
      </c>
      <c r="R33" s="35" t="n">
        <v>4</v>
      </c>
      <c r="S33" s="35" t="n">
        <v>5</v>
      </c>
      <c r="T33" s="33" t="n">
        <v>4.3</v>
      </c>
      <c r="U33" s="33" t="inlineStr">
        <is>
          <t>לכלול בקטלוג</t>
        </is>
      </c>
      <c r="V33" s="36" t="inlineStr">
        <is>
          <t>ערוץ מאושר. [נמצא ונוסף ע"י Claude, 29.08.2026: קיום/כותרת/ערוץ/משך זמן אומתו מול YouTube בפועל (oembed + lengthSeconds); לא נצפה תוכן במלואו.]</t>
        </is>
      </c>
    </row>
    <row r="34" ht="13.5" customHeight="1" s="25">
      <c r="A34" s="33" t="n">
        <v>33</v>
      </c>
      <c r="B34" s="36" t="inlineStr">
        <is>
          <t>15 Minute Full Body Pilates Workout - Intermediate Pilates at Home</t>
        </is>
      </c>
      <c r="C34" s="36" t="inlineStr">
        <is>
          <t>Jessica Valant</t>
        </is>
      </c>
      <c r="D34" s="34" t="inlineStr">
        <is>
          <t>Jessica Valant Pilates</t>
        </is>
      </c>
      <c r="E34" s="33" t="inlineStr">
        <is>
          <t>https://www.youtube.com/watch?v=jV9oV-ndPo8</t>
        </is>
      </c>
      <c r="F34" s="35" t="inlineStr">
        <is>
          <t>לא אומת</t>
        </is>
      </c>
      <c r="G34" s="35" t="n">
        <v>14</v>
      </c>
      <c r="H34" s="33" t="inlineStr">
        <is>
          <t>אנגלית</t>
        </is>
      </c>
      <c r="I34" s="34" t="inlineStr">
        <is>
          <t>שיעור</t>
        </is>
      </c>
      <c r="J34" s="34" t="inlineStr">
        <is>
          <t>ללא ציוד</t>
        </is>
      </c>
      <c r="K34" s="34" t="inlineStr">
        <is>
          <t>בינוני</t>
        </is>
      </c>
      <c r="L34" s="34" t="inlineStr">
        <is>
          <t>חיזוק</t>
        </is>
      </c>
      <c r="M34" s="34" t="inlineStr">
        <is>
          <t>גוף מלא</t>
        </is>
      </c>
      <c r="N34" s="35" t="n">
        <v>5</v>
      </c>
      <c r="O34" s="35" t="n">
        <v>4</v>
      </c>
      <c r="P34" s="35" t="n">
        <v>5</v>
      </c>
      <c r="Q34" s="35" t="n">
        <v>5</v>
      </c>
      <c r="R34" s="35" t="n">
        <v>4</v>
      </c>
      <c r="S34" s="35" t="n">
        <v>5</v>
      </c>
      <c r="T34" s="33" t="n">
        <v>4.7</v>
      </c>
      <c r="U34" s="33" t="inlineStr">
        <is>
          <t>לכלול בקטלוג</t>
        </is>
      </c>
      <c r="V34" s="36" t="inlineStr">
        <is>
          <t>ערוץ מאושר (פיזיותרפיסטית מוסמכת). [נמצא ונוסף ע"י Claude, 29.08.2026: קיום/כותרת/ערוץ/משך זמן אומתו מול YouTube בפועל (oembed + lengthSeconds); לא נצפה תוכן במלואו.]</t>
        </is>
      </c>
    </row>
    <row r="35" ht="13.5" customHeight="1" s="25">
      <c r="A35" s="33" t="n">
        <v>34</v>
      </c>
      <c r="B35" s="36" t="n"/>
      <c r="C35" s="36" t="n"/>
      <c r="D35" s="34" t="n"/>
      <c r="E35" s="33" t="n"/>
      <c r="F35" s="35" t="n"/>
      <c r="G35" s="35" t="n"/>
      <c r="H35" s="33" t="n"/>
      <c r="I35" s="34" t="n"/>
      <c r="J35" s="34" t="n"/>
      <c r="K35" s="34" t="n"/>
      <c r="L35" s="34" t="n"/>
      <c r="M35" s="34" t="n"/>
      <c r="N35" s="35" t="n"/>
      <c r="O35" s="35" t="n"/>
      <c r="P35" s="35" t="n"/>
      <c r="Q35" s="35" t="n"/>
      <c r="R35" s="35" t="n"/>
      <c r="S35" s="35" t="n"/>
      <c r="T35" s="33">
        <f>IF(COUNT(N37:S37)=0,"",ROUND(AVERAGE(N37:S37),1))</f>
        <v/>
      </c>
      <c r="U35" s="33" t="n"/>
      <c r="V35" s="36" t="n"/>
    </row>
    <row r="36" ht="13.5" customHeight="1" s="25">
      <c r="A36" s="33" t="n">
        <v>35</v>
      </c>
      <c r="B36" s="36" t="n"/>
      <c r="C36" s="36" t="n"/>
      <c r="D36" s="34" t="n"/>
      <c r="E36" s="33" t="n"/>
      <c r="F36" s="35" t="n"/>
      <c r="G36" s="35" t="n"/>
      <c r="H36" s="33" t="n"/>
      <c r="I36" s="34" t="n"/>
      <c r="J36" s="34" t="n"/>
      <c r="K36" s="34" t="n"/>
      <c r="L36" s="34" t="n"/>
      <c r="M36" s="34" t="n"/>
      <c r="N36" s="35" t="n"/>
      <c r="O36" s="35" t="n"/>
      <c r="P36" s="35" t="n"/>
      <c r="Q36" s="35" t="n"/>
      <c r="R36" s="35" t="n"/>
      <c r="S36" s="35" t="n"/>
      <c r="T36" s="33">
        <f>IF(COUNT(N38:S38)=0,"",ROUND(AVERAGE(N38:S38),1))</f>
        <v/>
      </c>
      <c r="U36" s="33" t="n"/>
      <c r="V36" s="36" t="n"/>
    </row>
    <row r="37" ht="13.5" customHeight="1" s="25">
      <c r="A37" s="33" t="n">
        <v>36</v>
      </c>
      <c r="B37" s="36" t="n"/>
      <c r="C37" s="36" t="n"/>
      <c r="D37" s="34" t="n"/>
      <c r="E37" s="33" t="n"/>
      <c r="F37" s="35" t="n"/>
      <c r="G37" s="35" t="n"/>
      <c r="H37" s="33" t="n"/>
      <c r="I37" s="34" t="n"/>
      <c r="J37" s="34" t="n"/>
      <c r="K37" s="34" t="n"/>
      <c r="L37" s="34" t="n"/>
      <c r="M37" s="34" t="n"/>
      <c r="N37" s="35" t="n"/>
      <c r="O37" s="35" t="n"/>
      <c r="P37" s="35" t="n"/>
      <c r="Q37" s="35" t="n"/>
      <c r="R37" s="35" t="n"/>
      <c r="S37" s="35" t="n"/>
      <c r="T37" s="33">
        <f>IF(COUNT(N39:S39)=0,"",ROUND(AVERAGE(N39:S39),1))</f>
        <v/>
      </c>
      <c r="U37" s="33" t="n"/>
      <c r="V37" s="36" t="n"/>
    </row>
    <row r="38" ht="13.5" customHeight="1" s="25">
      <c r="A38" s="33" t="n">
        <v>37</v>
      </c>
      <c r="B38" s="36" t="n"/>
      <c r="C38" s="36" t="n"/>
      <c r="D38" s="34" t="n"/>
      <c r="E38" s="33" t="n"/>
      <c r="F38" s="35" t="n"/>
      <c r="G38" s="35" t="n"/>
      <c r="H38" s="33" t="n"/>
      <c r="I38" s="34" t="n"/>
      <c r="J38" s="34" t="n"/>
      <c r="K38" s="34" t="n"/>
      <c r="L38" s="34" t="n"/>
      <c r="M38" s="34" t="n"/>
      <c r="N38" s="35" t="n"/>
      <c r="O38" s="35" t="n"/>
      <c r="P38" s="35" t="n"/>
      <c r="Q38" s="35" t="n"/>
      <c r="R38" s="35" t="n"/>
      <c r="S38" s="35" t="n"/>
      <c r="T38" s="33">
        <f>IF(COUNT(N40:S40)=0,"",ROUND(AVERAGE(N40:S40),1))</f>
        <v/>
      </c>
      <c r="U38" s="33" t="n"/>
      <c r="V38" s="36" t="n"/>
    </row>
    <row r="39" ht="13.5" customHeight="1" s="25">
      <c r="A39" s="33" t="n">
        <v>38</v>
      </c>
      <c r="B39" s="36" t="n"/>
      <c r="C39" s="36" t="n"/>
      <c r="D39" s="34" t="n"/>
      <c r="E39" s="33" t="n"/>
      <c r="F39" s="35" t="n"/>
      <c r="G39" s="35" t="n"/>
      <c r="H39" s="33" t="n"/>
      <c r="I39" s="34" t="n"/>
      <c r="J39" s="34" t="n"/>
      <c r="K39" s="34" t="n"/>
      <c r="L39" s="34" t="n"/>
      <c r="M39" s="34" t="n"/>
      <c r="N39" s="35" t="n"/>
      <c r="O39" s="35" t="n"/>
      <c r="P39" s="35" t="n"/>
      <c r="Q39" s="35" t="n"/>
      <c r="R39" s="35" t="n"/>
      <c r="S39" s="35" t="n"/>
      <c r="T39" s="33">
        <f>IF(COUNT(N41:S41)=0,"",ROUND(AVERAGE(N41:S41),1))</f>
        <v/>
      </c>
      <c r="U39" s="33" t="n"/>
      <c r="V39" s="36" t="n"/>
    </row>
    <row r="40" ht="13.5" customHeight="1" s="25"/>
    <row r="41" ht="13.5" customHeight="1" s="25"/>
  </sheetData>
  <conditionalFormatting sqref="T2:T41">
    <cfRule type="cellIs" rank="0" priority="2" equalAverage="0" operator="greaterThanOrEqual" aboveAverage="0" dxfId="2" text="" percent="0" bottom="0">
      <formula>4</formula>
    </cfRule>
    <cfRule type="expression" rank="0" priority="3" equalAverage="0" aboveAverage="0" dxfId="1" text="" percent="0" bottom="0">
      <formula>AND(T2&lt;&gt;"",T2&lt;4,T2&gt;=2.5)</formula>
    </cfRule>
    <cfRule type="expression" rank="0" priority="4" equalAverage="0" aboveAverage="0" dxfId="0" text="" percent="0" bottom="0">
      <formula>AND(T2&lt;&gt;"",T2&lt;2.5)</formula>
    </cfRule>
  </conditionalFormatting>
  <conditionalFormatting sqref="U2:U41">
    <cfRule type="cellIs" rank="0" priority="5" equalAverage="0" operator="equal" aboveAverage="0" dxfId="2" text="" percent="0" bottom="0">
      <formula>"לכלול בקטלוג"</formula>
    </cfRule>
    <cfRule type="cellIs" rank="0" priority="6" equalAverage="0" operator="equal" aboveAverage="0" dxfId="1" text="" percent="0" bottom="0">
      <formula>"לבדוק שוב"</formula>
    </cfRule>
    <cfRule type="cellIs" rank="0" priority="7" equalAverage="0" operator="equal" aboveAverage="0" dxfId="0" text="" percent="0" bottom="0">
      <formula>"לדחות"</formula>
    </cfRule>
  </conditionalFormatting>
  <dataValidations count="5">
    <dataValidation sqref="K2:K41" showDropDown="0" showInputMessage="0" showErrorMessage="0" allowBlank="1" type="list" errorStyle="stop" operator="between">
      <formula1>"מתחילים,בינוני,מתקדם,מתחילים-בינוני,מתחילים-מתקדם"</formula1>
      <formula2>0</formula2>
    </dataValidation>
    <dataValidation sqref="N2:S41" showDropDown="0" showInputMessage="0" showErrorMessage="0" allowBlank="1" errorTitle="ניקוד לא תקין" error="יש להזין מספר שלם בין 1 ל-5" type="whole" errorStyle="stop" operator="between">
      <formula1>1</formula1>
      <formula2>5</formula2>
    </dataValidation>
    <dataValidation sqref="U2:U41" showDropDown="0" showInputMessage="0" showErrorMessage="0" allowBlank="1" type="list" errorStyle="stop" operator="between">
      <formula1>"לכלול בקטלוג,לבדוק שוב,לדחות"</formula1>
      <formula2>0</formula2>
    </dataValidation>
    <dataValidation sqref="I2:I41" showDropDown="0" showInputMessage="0" showErrorMessage="0" allowBlank="1" type="list" errorStyle="stop" operator="between">
      <formula1>"תרגיל,שיעור"</formula1>
      <formula2>0</formula2>
    </dataValidation>
    <dataValidation sqref="D2:D41" showDropDown="0" showInputMessage="0" showErrorMessage="0" allowBlank="1" type="list" errorStyle="stop" operator="between">
      <formula1>'ערוצים מאושרים'!$B$2:$B$20</formula1>
      <formula2>0</formula2>
    </dataValidation>
  </dataValidations>
  <hyperlinks>
    <hyperlink xmlns:r="http://schemas.openxmlformats.org/officeDocument/2006/relationships" ref="E2" display="https://www.youtube.com/watch?v=lCg_gh_fppI" r:id="rId1"/>
    <hyperlink xmlns:r="http://schemas.openxmlformats.org/officeDocument/2006/relationships" ref="E3" display="https://www.youtube.com/watch?v=tUVvec3z-mo" r:id="rId2"/>
    <hyperlink xmlns:r="http://schemas.openxmlformats.org/officeDocument/2006/relationships" ref="E4" display="https://www.youtube.com/watch?v=cPjK7QqIY6Q" r:id="rId3"/>
    <hyperlink xmlns:r="http://schemas.openxmlformats.org/officeDocument/2006/relationships" ref="E5" display="https://www.youtube.com/watch?v=hyAfBY3NTWY" r:id="rId4"/>
    <hyperlink xmlns:r="http://schemas.openxmlformats.org/officeDocument/2006/relationships" ref="E6" display="https://www.youtube.com/watch?v=lws5oLzhHTA" r:id="rId5"/>
    <hyperlink xmlns:r="http://schemas.openxmlformats.org/officeDocument/2006/relationships" ref="E7" display="https://www.youtube.com/watch?v=GFuhJQloXu8" r:id="rId6"/>
    <hyperlink xmlns:r="http://schemas.openxmlformats.org/officeDocument/2006/relationships" ref="E8" display="https://www.youtube.com/watch?v=6bgk7trQBuk" r:id="rId7"/>
    <hyperlink xmlns:r="http://schemas.openxmlformats.org/officeDocument/2006/relationships" ref="E9" display="https://www.youtube.com/watch?v=dWYpp5WAARY" r:id="rId8"/>
    <hyperlink xmlns:r="http://schemas.openxmlformats.org/officeDocument/2006/relationships" ref="E10" display="https://www.youtube.com/watch?v=_aXCj84uPiw" r:id="rId9"/>
    <hyperlink xmlns:r="http://schemas.openxmlformats.org/officeDocument/2006/relationships" ref="E11" display="https://www.youtube.com/watch?v=TJa6bVbosik"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38761D"/>
    <outlinePr summaryBelow="1" summaryRight="1"/>
    <pageSetUpPr fitToPage="0"/>
  </sheetPr>
  <dimension ref="A1:O42"/>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6" customWidth="1" style="24" min="1" max="1"/>
    <col width="40" customWidth="1" style="24" min="2" max="2"/>
    <col width="16" customWidth="1" style="24" min="3" max="4"/>
    <col width="30" customWidth="1" style="24" min="5" max="5"/>
    <col width="16" customWidth="1" style="24" min="6" max="6"/>
    <col width="9" customWidth="1" style="24" min="7" max="7"/>
    <col width="8" customWidth="1" style="24" min="8" max="8"/>
    <col width="10" customWidth="1" style="24" min="9" max="9"/>
    <col width="20" customWidth="1" style="24" min="10" max="10"/>
    <col width="14" customWidth="1" style="24" min="11" max="11"/>
    <col width="20" customWidth="1" style="24" min="12" max="13"/>
    <col width="10" customWidth="1" style="24" min="14" max="14"/>
    <col width="40" customWidth="1" style="24" min="15" max="15"/>
  </cols>
  <sheetData>
    <row r="1" ht="26.25" customHeight="1" s="25">
      <c r="A1" s="32" t="inlineStr">
        <is>
          <t>מזהה</t>
        </is>
      </c>
      <c r="B1" s="32" t="inlineStr">
        <is>
          <t>שם הסרטון</t>
        </is>
      </c>
      <c r="C1" s="32" t="inlineStr">
        <is>
          <t>מדריך</t>
        </is>
      </c>
      <c r="D1" s="32" t="inlineStr">
        <is>
          <t>ערוץ</t>
        </is>
      </c>
      <c r="E1" s="32" t="inlineStr">
        <is>
          <t>קישור URL</t>
        </is>
      </c>
      <c r="F1" s="32" t="inlineStr">
        <is>
          <t>תאריך פרסום</t>
        </is>
      </c>
      <c r="G1" s="32" t="inlineStr">
        <is>
          <t>משך (דקות)</t>
        </is>
      </c>
      <c r="H1" s="32" t="inlineStr">
        <is>
          <t>שפה</t>
        </is>
      </c>
      <c r="I1" s="32" t="inlineStr">
        <is>
          <t>סוג תוכן</t>
        </is>
      </c>
      <c r="J1" s="32" t="inlineStr">
        <is>
          <t>ציוד</t>
        </is>
      </c>
      <c r="K1" s="32" t="inlineStr">
        <is>
          <t>רמה</t>
        </is>
      </c>
      <c r="L1" s="32" t="inlineStr">
        <is>
          <t>מטרה</t>
        </is>
      </c>
      <c r="M1" s="32" t="inlineStr">
        <is>
          <t>אזור גוף</t>
        </is>
      </c>
      <c r="N1" s="32" t="inlineStr">
        <is>
          <t>ניקוד כולל</t>
        </is>
      </c>
      <c r="O1" s="32" t="inlineStr">
        <is>
          <t>הערות</t>
        </is>
      </c>
    </row>
    <row r="2" ht="39" customHeight="1" s="25">
      <c r="A2" s="33" t="n">
        <v>1</v>
      </c>
      <c r="B2" s="36" t="inlineStr">
        <is>
          <t>POP Pilates for Beginners - Total Body Workout</t>
        </is>
      </c>
      <c r="C2" s="36" t="inlineStr">
        <is>
          <t>Cassey Ho</t>
        </is>
      </c>
      <c r="D2" s="34" t="inlineStr">
        <is>
          <t>Blogilates (Cassey Ho)</t>
        </is>
      </c>
      <c r="E2" s="39" t="inlineStr">
        <is>
          <t>https://www.youtube.com/watch?v=lCg_gh_fppI</t>
        </is>
      </c>
      <c r="F2" s="35" t="inlineStr">
        <is>
          <t>2011 (לא אומת במדויק)</t>
        </is>
      </c>
      <c r="G2" s="33" t="n"/>
      <c r="H2" s="33" t="inlineStr">
        <is>
          <t>אנגלית</t>
        </is>
      </c>
      <c r="I2" s="34" t="inlineStr">
        <is>
          <t>שיעור</t>
        </is>
      </c>
      <c r="J2" s="34" t="inlineStr">
        <is>
          <t>ללא ציוד</t>
        </is>
      </c>
      <c r="K2" s="34" t="inlineStr">
        <is>
          <t>מתחילים</t>
        </is>
      </c>
      <c r="L2" s="34" t="inlineStr">
        <is>
          <t>פילאטיס בסיסי / חיזוק כללי</t>
        </is>
      </c>
      <c r="M2" s="34" t="inlineStr">
        <is>
          <t>גוף מלא</t>
        </is>
      </c>
      <c r="N2" s="33">
        <f>'מאגר מועמדים'!T2</f>
        <v/>
      </c>
      <c r="O2" s="36" t="inlineStr">
        <is>
          <t>אושר לקטלוג; דורג על סמך מידע משני (עמוד הערוץ, תיאור הסרטון, כתבות סקירה) - לא נצפה במלואו; מומלץ צפייה מהירה לפני פרסום סופי.</t>
        </is>
      </c>
    </row>
    <row r="3" ht="39" customHeight="1" s="25">
      <c r="A3" s="33" t="n">
        <v>2</v>
      </c>
      <c r="B3" s="36" t="inlineStr">
        <is>
          <t>POP Pilates for Beginners: Ab Time!</t>
        </is>
      </c>
      <c r="C3" s="36" t="inlineStr">
        <is>
          <t>Cassey Ho</t>
        </is>
      </c>
      <c r="D3" s="34" t="inlineStr">
        <is>
          <t>Blogilates (Cassey Ho)</t>
        </is>
      </c>
      <c r="E3" s="39" t="inlineStr">
        <is>
          <t>https://www.youtube.com/watch?v=tUVvec3z-mo</t>
        </is>
      </c>
      <c r="F3" s="35" t="inlineStr">
        <is>
          <t>2011 (לא אומת במדויק)</t>
        </is>
      </c>
      <c r="G3" s="33" t="n"/>
      <c r="H3" s="33" t="inlineStr">
        <is>
          <t>אנגלית</t>
        </is>
      </c>
      <c r="I3" s="34" t="inlineStr">
        <is>
          <t>תרגיל</t>
        </is>
      </c>
      <c r="J3" s="34" t="inlineStr">
        <is>
          <t>ללא ציוד</t>
        </is>
      </c>
      <c r="K3" s="34" t="inlineStr">
        <is>
          <t>מתחילים</t>
        </is>
      </c>
      <c r="L3" s="34" t="inlineStr">
        <is>
          <t>חיזוק</t>
        </is>
      </c>
      <c r="M3" s="34" t="inlineStr">
        <is>
          <t>בטן וליבה</t>
        </is>
      </c>
      <c r="N3" s="33">
        <f>'מאגר מועמדים'!T3</f>
        <v/>
      </c>
      <c r="O3" s="36" t="inlineStr">
        <is>
          <t>אושר לקטלוג; דורג על סמך מידע משני (עמוד הערוץ, תיאור הסרטון, כתבות סקירה) - לא נצפה במלואו; מומלץ צפייה מהירה לפני פרסום סופי.</t>
        </is>
      </c>
    </row>
    <row r="4" ht="39" customHeight="1" s="25">
      <c r="A4" s="33" t="n">
        <v>3</v>
      </c>
      <c r="B4" s="36" t="inlineStr">
        <is>
          <t>15 min Full Body Workout with Bands</t>
        </is>
      </c>
      <c r="C4" s="36" t="inlineStr">
        <is>
          <t>Cassey Ho</t>
        </is>
      </c>
      <c r="D4" s="34" t="inlineStr">
        <is>
          <t>Blogilates (Cassey Ho)</t>
        </is>
      </c>
      <c r="E4" s="39" t="inlineStr">
        <is>
          <t>https://www.youtube.com/watch?v=cPjK7QqIY6Q</t>
        </is>
      </c>
      <c r="F4" s="35" t="inlineStr">
        <is>
          <t>24/01/2021</t>
        </is>
      </c>
      <c r="G4" s="33" t="n">
        <v>15</v>
      </c>
      <c r="H4" s="33" t="inlineStr">
        <is>
          <t>אנגלית</t>
        </is>
      </c>
      <c r="I4" s="34" t="inlineStr">
        <is>
          <t>תרגיל</t>
        </is>
      </c>
      <c r="J4" s="34" t="inlineStr">
        <is>
          <t>גומיית לולאה</t>
        </is>
      </c>
      <c r="K4" s="34" t="inlineStr">
        <is>
          <t>בינוני</t>
        </is>
      </c>
      <c r="L4" s="34" t="inlineStr">
        <is>
          <t>חיזוק</t>
        </is>
      </c>
      <c r="M4" s="34" t="inlineStr">
        <is>
          <t>גוף מלא</t>
        </is>
      </c>
      <c r="N4" s="33">
        <f>'מאגר מועמדים'!T4</f>
        <v/>
      </c>
      <c r="O4" s="36" t="inlineStr">
        <is>
          <t>אושר לקטלוג; דורג על סמך מידע משני (עמוד הערוץ, תיאור הסרטון, כתבות סקירה) - לא נצפה במלואו; מומלץ צפייה מהירה לפני פרסום סופי.</t>
        </is>
      </c>
    </row>
    <row r="5" ht="39" customHeight="1" s="25">
      <c r="A5" s="33" t="n">
        <v>4</v>
      </c>
      <c r="B5" s="36" t="inlineStr">
        <is>
          <t>10 Minute Booty Burn Workout with Bands</t>
        </is>
      </c>
      <c r="C5" s="36" t="inlineStr">
        <is>
          <t>Cassey Ho</t>
        </is>
      </c>
      <c r="D5" s="34" t="inlineStr">
        <is>
          <t>Blogilates (Cassey Ho)</t>
        </is>
      </c>
      <c r="E5" s="39" t="inlineStr">
        <is>
          <t>https://www.youtube.com/watch?v=hyAfBY3NTWY</t>
        </is>
      </c>
      <c r="F5" s="35" t="inlineStr">
        <is>
          <t>2021 (לא אומת במדויק)</t>
        </is>
      </c>
      <c r="G5" s="33" t="n">
        <v>15</v>
      </c>
      <c r="H5" s="33" t="inlineStr">
        <is>
          <t>אנגלית</t>
        </is>
      </c>
      <c r="I5" s="34" t="inlineStr">
        <is>
          <t>תרגיל</t>
        </is>
      </c>
      <c r="J5" s="34" t="inlineStr">
        <is>
          <t>גומיית לולאה</t>
        </is>
      </c>
      <c r="K5" s="34" t="inlineStr">
        <is>
          <t>מתחילים-בינוני</t>
        </is>
      </c>
      <c r="L5" s="34" t="inlineStr">
        <is>
          <t>חיזוק</t>
        </is>
      </c>
      <c r="M5" s="34" t="inlineStr">
        <is>
          <t>ישבן ורגליים</t>
        </is>
      </c>
      <c r="N5" s="33">
        <f>'מאגר מועמדים'!T5</f>
        <v/>
      </c>
      <c r="O5" s="36" t="inlineStr">
        <is>
          <t>אושר לקטלוג; דורג על סמך מידע משני (עמוד הערוץ, תיאור הסרטון, כתבות סקירה) - לא נצפה במלואו; מומלץ צפייה מהירה לפני פרסום סופי.</t>
        </is>
      </c>
    </row>
    <row r="6" ht="39" customHeight="1" s="25">
      <c r="A6" s="33" t="n">
        <v>5</v>
      </c>
      <c r="B6" s="36" t="inlineStr">
        <is>
          <t>15 Minute Weightless Arms Workout - sculpt sleek &amp; toned shoulders, triceps, biceps and back</t>
        </is>
      </c>
      <c r="C6" s="36" t="inlineStr">
        <is>
          <t>Cassey Ho</t>
        </is>
      </c>
      <c r="D6" s="34" t="inlineStr">
        <is>
          <t>Blogilates (Cassey Ho)</t>
        </is>
      </c>
      <c r="E6" s="39" t="inlineStr">
        <is>
          <t>https://www.youtube.com/watch?v=lws5oLzhHTA</t>
        </is>
      </c>
      <c r="F6" s="35" t="inlineStr">
        <is>
          <t>29/08/2021</t>
        </is>
      </c>
      <c r="G6" s="33" t="n">
        <v>15</v>
      </c>
      <c r="H6" s="33" t="inlineStr">
        <is>
          <t>אנגלית</t>
        </is>
      </c>
      <c r="I6" s="34" t="inlineStr">
        <is>
          <t>תרגיל</t>
        </is>
      </c>
      <c r="J6" s="34" t="inlineStr">
        <is>
          <t>ללא ציוד</t>
        </is>
      </c>
      <c r="K6" s="34" t="inlineStr">
        <is>
          <t>בינוני</t>
        </is>
      </c>
      <c r="L6" s="34" t="inlineStr">
        <is>
          <t>חיזוק</t>
        </is>
      </c>
      <c r="M6" s="34" t="inlineStr">
        <is>
          <t>כתפיים וזרועות</t>
        </is>
      </c>
      <c r="N6" s="33">
        <f>'מאגר מועמדים'!T6</f>
        <v/>
      </c>
      <c r="O6" s="36" t="inlineStr">
        <is>
          <t>אושר לקטלוג; דורג על סמך מידע משני (עמוד הערוץ, תיאור הסרטון, כתבות סקירה) - לא נצפה במלואו; מומלץ צפייה מהירה לפני פרסום סופי.</t>
        </is>
      </c>
    </row>
    <row r="7" ht="39" customHeight="1" s="25">
      <c r="A7" s="33" t="n">
        <v>6</v>
      </c>
      <c r="B7" s="36" t="inlineStr">
        <is>
          <t>15 Minute Deep Stretch for Splits</t>
        </is>
      </c>
      <c r="C7" s="36" t="inlineStr">
        <is>
          <t>Cassey Ho</t>
        </is>
      </c>
      <c r="D7" s="34" t="inlineStr">
        <is>
          <t>Blogilates (Cassey Ho)</t>
        </is>
      </c>
      <c r="E7" s="39" t="inlineStr">
        <is>
          <t>https://www.youtube.com/watch?v=GFuhJQloXu8</t>
        </is>
      </c>
      <c r="F7" s="35" t="inlineStr">
        <is>
          <t>20/06/2021</t>
        </is>
      </c>
      <c r="G7" s="33" t="n">
        <v>15</v>
      </c>
      <c r="H7" s="33" t="inlineStr">
        <is>
          <t>אנגלית</t>
        </is>
      </c>
      <c r="I7" s="34" t="inlineStr">
        <is>
          <t>שיעור</t>
        </is>
      </c>
      <c r="J7" s="34" t="inlineStr">
        <is>
          <t>ללא ציוד (בלוקי יוגה אופציונליים)</t>
        </is>
      </c>
      <c r="K7" s="34" t="inlineStr">
        <is>
          <t>מתחילים-מתקדם</t>
        </is>
      </c>
      <c r="L7" s="34" t="inlineStr">
        <is>
          <t>גמישות ומתיחה</t>
        </is>
      </c>
      <c r="M7" s="34" t="inlineStr">
        <is>
          <t>ישבן ורגליים</t>
        </is>
      </c>
      <c r="N7" s="33">
        <f>'מאגר מועמדים'!T7</f>
        <v/>
      </c>
      <c r="O7" s="36" t="inlineStr">
        <is>
          <t>אושר לקטלוג; דורג על סמך מידע משני (עמוד הערוץ, תיאור הסרטון, כתבות סקירה) - לא נצפה במלואו; מומלץ צפייה מהירה לפני פרסום סופי.</t>
        </is>
      </c>
    </row>
    <row r="8" ht="13.5" customHeight="1" s="25">
      <c r="A8" s="40" t="n">
        <v>7</v>
      </c>
      <c r="B8" s="41" t="inlineStr">
        <is>
          <t>אימון פילאטיס מזרן למתחילים - 30 דקות (שיעור מלא)</t>
        </is>
      </c>
      <c r="C8" s="41" t="inlineStr">
        <is>
          <t>Yael Israel</t>
        </is>
      </c>
      <c r="D8" s="42" t="inlineStr">
        <is>
          <t>יעל ישראל (Yael Israel)</t>
        </is>
      </c>
      <c r="E8" s="43" t="inlineStr">
        <is>
          <t>https://www.youtube.com/watch?v=6bgk7trQBuk</t>
        </is>
      </c>
      <c r="F8" s="44" t="inlineStr">
        <is>
          <t>27/01/2022</t>
        </is>
      </c>
      <c r="G8" s="40" t="n">
        <v>30</v>
      </c>
      <c r="H8" s="40" t="inlineStr">
        <is>
          <t>עברית</t>
        </is>
      </c>
      <c r="I8" s="42" t="inlineStr">
        <is>
          <t>שיעור</t>
        </is>
      </c>
      <c r="J8" s="42" t="inlineStr">
        <is>
          <t>ללא ציוד</t>
        </is>
      </c>
      <c r="K8" s="42" t="inlineStr">
        <is>
          <t>מתחילים</t>
        </is>
      </c>
      <c r="L8" s="42" t="inlineStr">
        <is>
          <t>פילאטיס בסיסי / חיזוק כללי</t>
        </is>
      </c>
      <c r="M8" s="42" t="inlineStr">
        <is>
          <t>גוף מלא</t>
        </is>
      </c>
      <c r="N8" s="40">
        <f>'מאגר מועמדים'!T8</f>
        <v/>
      </c>
      <c r="O8" s="41" t="inlineStr">
        <is>
          <t>אושר לקטלוג; דורג על סמך מידע משני (תיאורי סרטונים, כתבת TheMarker, עמודי הפייסבוק) - לא נצפה במלואו; מומלץ צפייה מהירה לפני פרסום סופי.</t>
        </is>
      </c>
    </row>
    <row r="9" ht="13.5" customHeight="1" s="25">
      <c r="A9" s="40" t="n">
        <v>8</v>
      </c>
      <c r="B9" s="41" t="inlineStr">
        <is>
          <t>אימון פילאטיס מזרן עם התאמת תרגילים לכל רמות הקושי - 20 דקות</t>
        </is>
      </c>
      <c r="C9" s="41" t="inlineStr">
        <is>
          <t>Yael Israel</t>
        </is>
      </c>
      <c r="D9" s="42" t="inlineStr">
        <is>
          <t>יעל ישראל (Yael Israel)</t>
        </is>
      </c>
      <c r="E9" s="43" t="inlineStr">
        <is>
          <t>https://www.youtube.com/watch?v=dWYpp5WAARY</t>
        </is>
      </c>
      <c r="F9" s="44" t="inlineStr">
        <is>
          <t>27/02/2024</t>
        </is>
      </c>
      <c r="G9" s="40" t="n">
        <v>20</v>
      </c>
      <c r="H9" s="40" t="inlineStr">
        <is>
          <t>עברית</t>
        </is>
      </c>
      <c r="I9" s="42" t="inlineStr">
        <is>
          <t>שיעור</t>
        </is>
      </c>
      <c r="J9" s="42" t="inlineStr">
        <is>
          <t>ללא ציוד</t>
        </is>
      </c>
      <c r="K9" s="42" t="inlineStr">
        <is>
          <t>מתחילים-מתקדם</t>
        </is>
      </c>
      <c r="L9" s="42" t="inlineStr">
        <is>
          <t>תנועה עדינה והתאמות</t>
        </is>
      </c>
      <c r="M9" s="42" t="inlineStr">
        <is>
          <t>גוף מלא</t>
        </is>
      </c>
      <c r="N9" s="40">
        <f>'מאגר מועמדים'!T9</f>
        <v/>
      </c>
      <c r="O9" s="41" t="inlineStr">
        <is>
          <t>אושר לקטלוג; דורג על סמך מידע משני (תיאורי סרטונים, כתבת TheMarker, עמודי הפייסבוק) - לא נצפה במלואו; מומלץ צפייה מהירה לפני פרסום סופי.</t>
        </is>
      </c>
    </row>
    <row r="10" ht="13.5" customHeight="1" s="25">
      <c r="A10" s="40" t="n">
        <v>9</v>
      </c>
      <c r="B10" s="41" t="inlineStr">
        <is>
          <t>אימון פילאטיס מלא עם גומייה - 40 דקות</t>
        </is>
      </c>
      <c r="C10" s="41" t="inlineStr">
        <is>
          <t>Yael Israel</t>
        </is>
      </c>
      <c r="D10" s="42" t="inlineStr">
        <is>
          <t>יעל ישראל (Yael Israel)</t>
        </is>
      </c>
      <c r="E10" s="43" t="inlineStr">
        <is>
          <t>https://www.youtube.com/watch?v=_aXCj84uPiw</t>
        </is>
      </c>
      <c r="F10" s="44" t="inlineStr">
        <is>
          <t>04/05/2023</t>
        </is>
      </c>
      <c r="G10" s="40" t="n">
        <v>40</v>
      </c>
      <c r="H10" s="40" t="inlineStr">
        <is>
          <t>עברית</t>
        </is>
      </c>
      <c r="I10" s="42" t="inlineStr">
        <is>
          <t>שיעור</t>
        </is>
      </c>
      <c r="J10" s="42" t="inlineStr">
        <is>
          <t>גומיית רצועה ארוכה</t>
        </is>
      </c>
      <c r="K10" s="42" t="inlineStr">
        <is>
          <t>בינוני</t>
        </is>
      </c>
      <c r="L10" s="42" t="inlineStr">
        <is>
          <t>חיזוק</t>
        </is>
      </c>
      <c r="M10" s="42" t="inlineStr">
        <is>
          <t>גוף מלא</t>
        </is>
      </c>
      <c r="N10" s="40">
        <f>'מאגר מועמדים'!T10</f>
        <v/>
      </c>
      <c r="O10" s="41" t="inlineStr">
        <is>
          <t>אושר לקטלוג; דורג על סמך מידע משני (תיאורי סרטונים, כתבת TheMarker, עמודי הפייסבוק) - לא נצפה במלואו; מומלץ צפייה מהירה לפני פרסום סופי.</t>
        </is>
      </c>
    </row>
    <row r="11" ht="13.5" customHeight="1" s="25">
      <c r="A11" s="40" t="n">
        <v>10</v>
      </c>
      <c r="B11" s="41" t="inlineStr">
        <is>
          <t>אימון פילאטיס מזרן – 20 דקות עם יעל ישראל</t>
        </is>
      </c>
      <c r="C11" s="41" t="inlineStr">
        <is>
          <t>Yael Israel</t>
        </is>
      </c>
      <c r="D11" s="42" t="inlineStr">
        <is>
          <t>יעל ישראל (Yael Israel)</t>
        </is>
      </c>
      <c r="E11" s="43" t="inlineStr">
        <is>
          <t>https://www.youtube.com/watch?v=TJa6bVbosik</t>
        </is>
      </c>
      <c r="F11" s="44" t="inlineStr">
        <is>
          <t>01/07/2025</t>
        </is>
      </c>
      <c r="G11" s="40" t="n">
        <v>20</v>
      </c>
      <c r="H11" s="40" t="inlineStr">
        <is>
          <t>עברית</t>
        </is>
      </c>
      <c r="I11" s="42" t="inlineStr">
        <is>
          <t>תרגיל</t>
        </is>
      </c>
      <c r="J11" s="42" t="inlineStr">
        <is>
          <t>ללא ציוד</t>
        </is>
      </c>
      <c r="K11" s="42" t="inlineStr">
        <is>
          <t>בינוני</t>
        </is>
      </c>
      <c r="L11" s="42" t="inlineStr">
        <is>
          <t>חיזוק</t>
        </is>
      </c>
      <c r="M11" s="42" t="inlineStr">
        <is>
          <t>בטן וליבה</t>
        </is>
      </c>
      <c r="N11" s="40">
        <f>'מאגר מועמדים'!T11</f>
        <v/>
      </c>
      <c r="O11" s="41" t="inlineStr">
        <is>
          <t>אושר לקטלוג; דורג על סמך מידע משני (תיאורי סרטונים, כתבת TheMarker, עמודי הפייסבוק) - לא נצפה במלואו; מומלץ צפייה מהירה לפני פרסום סופי.</t>
        </is>
      </c>
    </row>
    <row r="12" ht="13.5" customHeight="1" s="25">
      <c r="A12" s="33" t="n">
        <v>11</v>
      </c>
      <c r="B12" s="36" t="inlineStr">
        <is>
          <t>3 Magic Circle exercises for the inner thighs</t>
        </is>
      </c>
      <c r="C12" s="36" t="inlineStr">
        <is>
          <t>MyBOD Wellness</t>
        </is>
      </c>
      <c r="D12" s="34" t="inlineStr">
        <is>
          <t>MyBOD Wellness</t>
        </is>
      </c>
      <c r="E12" s="33" t="inlineStr">
        <is>
          <t>https://www.youtube.com/watch?v=2dWCf8bmPhI</t>
        </is>
      </c>
      <c r="F12" s="35" t="inlineStr">
        <is>
          <t>לא אומת</t>
        </is>
      </c>
      <c r="G12" s="33" t="n">
        <v>6</v>
      </c>
      <c r="H12" s="33" t="inlineStr">
        <is>
          <t>אנגלית</t>
        </is>
      </c>
      <c r="I12" s="34" t="inlineStr">
        <is>
          <t>תרגיל</t>
        </is>
      </c>
      <c r="J12" s="34" t="inlineStr">
        <is>
          <t>טבעת פילאטיס (Ring)</t>
        </is>
      </c>
      <c r="K12" s="34" t="inlineStr">
        <is>
          <t>מתחילים</t>
        </is>
      </c>
      <c r="L12" s="34" t="inlineStr">
        <is>
          <t>חיזוק</t>
        </is>
      </c>
      <c r="M12" s="34" t="inlineStr">
        <is>
          <t>ישבן ורגליים</t>
        </is>
      </c>
      <c r="N12" s="33">
        <f>'מאגר מועמדים'!T12</f>
        <v/>
      </c>
      <c r="O12"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3" ht="13.5" customHeight="1" s="25">
      <c r="A13" s="33" t="n">
        <v>12</v>
      </c>
      <c r="B13" s="36" t="inlineStr">
        <is>
          <t>RESISTANCE BAND WORKOUT - ABS &amp; CORE - HOME WORKOUT - 10 MINUTES</t>
        </is>
      </c>
      <c r="C13" s="36" t="inlineStr">
        <is>
          <t>LiveFitness</t>
        </is>
      </c>
      <c r="D13" s="34" t="inlineStr">
        <is>
          <t>LiveFitness</t>
        </is>
      </c>
      <c r="E13" s="33" t="inlineStr">
        <is>
          <t>https://www.youtube.com/watch?v=ezJ48LIS_tM</t>
        </is>
      </c>
      <c r="F13" s="35" t="inlineStr">
        <is>
          <t>לא אומת</t>
        </is>
      </c>
      <c r="G13" s="33" t="n">
        <v>10</v>
      </c>
      <c r="H13" s="33" t="inlineStr">
        <is>
          <t>אנגלית</t>
        </is>
      </c>
      <c r="I13" s="34" t="inlineStr">
        <is>
          <t>תרגיל</t>
        </is>
      </c>
      <c r="J13" s="34" t="inlineStr">
        <is>
          <t>גומיית רצועה ארוכה</t>
        </is>
      </c>
      <c r="K13" s="34" t="inlineStr">
        <is>
          <t>בינוני</t>
        </is>
      </c>
      <c r="L13" s="34" t="inlineStr">
        <is>
          <t>חיזוק</t>
        </is>
      </c>
      <c r="M13" s="34" t="inlineStr">
        <is>
          <t>בטן וליבה</t>
        </is>
      </c>
      <c r="N13" s="33">
        <f>'מאגר מועמדים'!T13</f>
        <v/>
      </c>
      <c r="O13"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4" ht="13.5" customHeight="1" s="25">
      <c r="A14" s="33" t="n">
        <v>13</v>
      </c>
      <c r="B14" s="36" t="inlineStr">
        <is>
          <t>10 MIN PILATES RING WORKOUT: inner thigh &amp; abs</t>
        </is>
      </c>
      <c r="C14" s="36" t="inlineStr">
        <is>
          <t>Posture Tonic by Jacinta Brown</t>
        </is>
      </c>
      <c r="D14" s="34" t="inlineStr">
        <is>
          <t>Posture Tonic by Jacinta Brown</t>
        </is>
      </c>
      <c r="E14" s="33" t="inlineStr">
        <is>
          <t>https://www.youtube.com/watch?v=M9lkkpMgIfE</t>
        </is>
      </c>
      <c r="F14" s="35" t="inlineStr">
        <is>
          <t>לא אומת</t>
        </is>
      </c>
      <c r="G14" s="33" t="n">
        <v>10</v>
      </c>
      <c r="H14" s="33" t="inlineStr">
        <is>
          <t>אנגלית</t>
        </is>
      </c>
      <c r="I14" s="34" t="inlineStr">
        <is>
          <t>תרגיל</t>
        </is>
      </c>
      <c r="J14" s="34" t="inlineStr">
        <is>
          <t>טבעת פילאטיס (Ring)</t>
        </is>
      </c>
      <c r="K14" s="34" t="inlineStr">
        <is>
          <t>מתחילים</t>
        </is>
      </c>
      <c r="L14" s="34" t="inlineStr">
        <is>
          <t>חיזוק</t>
        </is>
      </c>
      <c r="M14" s="34" t="inlineStr">
        <is>
          <t>ישבן ורגליים / בטן וליבה</t>
        </is>
      </c>
      <c r="N14" s="33">
        <f>'מאגר מועמדים'!T14</f>
        <v/>
      </c>
      <c r="O14"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5" ht="13.5" customHeight="1" s="25">
      <c r="A15" s="33" t="n">
        <v>14</v>
      </c>
      <c r="B15" s="36" t="inlineStr">
        <is>
          <t>Inner Thigh Burn | 10 Minute Pilates Ring Workout | Lottie Murphy</t>
        </is>
      </c>
      <c r="C15" s="36" t="inlineStr">
        <is>
          <t>Lottie Murphy</t>
        </is>
      </c>
      <c r="D15" s="34" t="inlineStr">
        <is>
          <t>Lottie Murphy</t>
        </is>
      </c>
      <c r="E15" s="33" t="inlineStr">
        <is>
          <t>https://www.youtube.com/watch?v=JjgadyBrkrQ</t>
        </is>
      </c>
      <c r="F15" s="35" t="inlineStr">
        <is>
          <t>לא אומת</t>
        </is>
      </c>
      <c r="G15" s="33" t="n">
        <v>10</v>
      </c>
      <c r="H15" s="33" t="inlineStr">
        <is>
          <t>אנגלית</t>
        </is>
      </c>
      <c r="I15" s="34" t="inlineStr">
        <is>
          <t>תרגיל</t>
        </is>
      </c>
      <c r="J15" s="34" t="inlineStr">
        <is>
          <t>טבעת פילאטיס (Ring)</t>
        </is>
      </c>
      <c r="K15" s="34" t="inlineStr">
        <is>
          <t>בינוני</t>
        </is>
      </c>
      <c r="L15" s="34" t="inlineStr">
        <is>
          <t>חיזוק</t>
        </is>
      </c>
      <c r="M15" s="34" t="inlineStr">
        <is>
          <t>ישבן ורגליים</t>
        </is>
      </c>
      <c r="N15" s="33">
        <f>'מאגר מועמדים'!T15</f>
        <v/>
      </c>
      <c r="O15"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6" ht="13.5" customHeight="1" s="25">
      <c r="A16" s="33" t="n">
        <v>15</v>
      </c>
      <c r="B16" s="36" t="inlineStr">
        <is>
          <t>Resistance Band Pilates Workout | Arms, Butt, Abs | 15 Minute Routine | Lottie Murphy</t>
        </is>
      </c>
      <c r="C16" s="36" t="inlineStr">
        <is>
          <t>Lottie Murphy</t>
        </is>
      </c>
      <c r="D16" s="34" t="inlineStr">
        <is>
          <t>Lottie Murphy</t>
        </is>
      </c>
      <c r="E16" s="33" t="inlineStr">
        <is>
          <t>https://www.youtube.com/watch?v=9XcqB-p14Ak</t>
        </is>
      </c>
      <c r="F16" s="35" t="inlineStr">
        <is>
          <t>לא אומת</t>
        </is>
      </c>
      <c r="G16" s="33" t="n">
        <v>15</v>
      </c>
      <c r="H16" s="33" t="inlineStr">
        <is>
          <t>אנגלית</t>
        </is>
      </c>
      <c r="I16" s="34" t="inlineStr">
        <is>
          <t>תרגיל</t>
        </is>
      </c>
      <c r="J16" s="34" t="inlineStr">
        <is>
          <t>גומיית רצועה ארוכה</t>
        </is>
      </c>
      <c r="K16" s="34" t="inlineStr">
        <is>
          <t>בינוני</t>
        </is>
      </c>
      <c r="L16" s="34" t="inlineStr">
        <is>
          <t>חיזוק</t>
        </is>
      </c>
      <c r="M16" s="34" t="inlineStr">
        <is>
          <t>כתפיים וזרועות / ישבן ורגליים / בטן וליבה</t>
        </is>
      </c>
      <c r="N16" s="33">
        <f>'מאגר מועמדים'!T16</f>
        <v/>
      </c>
      <c r="O16"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7" ht="13.5" customHeight="1" s="25">
      <c r="A17" s="33" t="n">
        <v>16</v>
      </c>
      <c r="B17" s="36" t="inlineStr">
        <is>
          <t>Full Body Resistance Band Workout | 30 Mins | Beginner Friendly Pilates</t>
        </is>
      </c>
      <c r="C17" s="36" t="inlineStr">
        <is>
          <t>The Girl With The Pilates Mat</t>
        </is>
      </c>
      <c r="D17" s="34" t="inlineStr">
        <is>
          <t>The Girl With The Pilates Mat</t>
        </is>
      </c>
      <c r="E17" s="33" t="inlineStr">
        <is>
          <t>https://www.youtube.com/watch?v=NUCrEf4JTTc</t>
        </is>
      </c>
      <c r="F17" s="35" t="inlineStr">
        <is>
          <t>לא אומת</t>
        </is>
      </c>
      <c r="G17" s="33" t="n">
        <v>30</v>
      </c>
      <c r="H17" s="33" t="inlineStr">
        <is>
          <t>אנגלית</t>
        </is>
      </c>
      <c r="I17" s="34" t="inlineStr">
        <is>
          <t>שיעור</t>
        </is>
      </c>
      <c r="J17" s="34" t="inlineStr">
        <is>
          <t>גומיית רצועה ארוכה</t>
        </is>
      </c>
      <c r="K17" s="34" t="inlineStr">
        <is>
          <t>מתחילים</t>
        </is>
      </c>
      <c r="L17" s="34" t="inlineStr">
        <is>
          <t>חיזוק</t>
        </is>
      </c>
      <c r="M17" s="34" t="inlineStr">
        <is>
          <t>גוף מלא</t>
        </is>
      </c>
      <c r="N17" s="33">
        <f>'מאגר מועמדים'!T17</f>
        <v/>
      </c>
      <c r="O17"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8" ht="13.5" customHeight="1" s="25">
      <c r="A18" s="33" t="n">
        <v>17</v>
      </c>
      <c r="B18" s="36" t="inlineStr">
        <is>
          <t>Pilates Resistance Band Workout | 40 Minute at Home Pilates Workout</t>
        </is>
      </c>
      <c r="C18" s="36" t="inlineStr">
        <is>
          <t>Trifecta Pilates</t>
        </is>
      </c>
      <c r="D18" s="34" t="inlineStr">
        <is>
          <t>Trifecta Pilates</t>
        </is>
      </c>
      <c r="E18" s="33" t="inlineStr">
        <is>
          <t>https://www.youtube.com/watch?v=zKVTTrSg910</t>
        </is>
      </c>
      <c r="F18" s="35" t="inlineStr">
        <is>
          <t>לא אומת</t>
        </is>
      </c>
      <c r="G18" s="33" t="n">
        <v>40</v>
      </c>
      <c r="H18" s="33" t="inlineStr">
        <is>
          <t>אנגלית</t>
        </is>
      </c>
      <c r="I18" s="34" t="inlineStr">
        <is>
          <t>שיעור</t>
        </is>
      </c>
      <c r="J18" s="34" t="inlineStr">
        <is>
          <t>גומיית רצועה ארוכה</t>
        </is>
      </c>
      <c r="K18" s="34" t="inlineStr">
        <is>
          <t>מתקדם</t>
        </is>
      </c>
      <c r="L18" s="34" t="inlineStr">
        <is>
          <t>חיזוק, גמישות ומתיחה</t>
        </is>
      </c>
      <c r="M18" s="34" t="inlineStr">
        <is>
          <t>גוף מלא</t>
        </is>
      </c>
      <c r="N18" s="33">
        <f>'מאגר מועמדים'!T18</f>
        <v/>
      </c>
      <c r="O18"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19" ht="13.5" customHeight="1" s="25">
      <c r="A19" s="33" t="n">
        <v>18</v>
      </c>
      <c r="B19" s="36" t="inlineStr">
        <is>
          <t>Pilates Full Body Workout with the Resistance Band | 30 Minutes</t>
        </is>
      </c>
      <c r="C19" s="36" t="inlineStr">
        <is>
          <t>The Girl With The Pilates Mat</t>
        </is>
      </c>
      <c r="D19" s="34" t="inlineStr">
        <is>
          <t>The Girl With The Pilates Mat</t>
        </is>
      </c>
      <c r="E19" s="33" t="inlineStr">
        <is>
          <t>https://www.youtube.com/watch?v=8_g8ki259V8</t>
        </is>
      </c>
      <c r="F19" s="35" t="inlineStr">
        <is>
          <t>לא אומת</t>
        </is>
      </c>
      <c r="G19" s="33" t="n">
        <v>30</v>
      </c>
      <c r="H19" s="33" t="inlineStr">
        <is>
          <t>אנגלית</t>
        </is>
      </c>
      <c r="I19" s="34" t="inlineStr">
        <is>
          <t>שיעור</t>
        </is>
      </c>
      <c r="J19" s="34" t="inlineStr">
        <is>
          <t>גומיית רצועה ארוכה</t>
        </is>
      </c>
      <c r="K19" s="34" t="inlineStr">
        <is>
          <t>בינוני</t>
        </is>
      </c>
      <c r="L19" s="34" t="inlineStr">
        <is>
          <t>חיזוק</t>
        </is>
      </c>
      <c r="M19" s="34" t="inlineStr">
        <is>
          <t>גוף מלא</t>
        </is>
      </c>
      <c r="N19" s="33">
        <f>'מאגר מועמדים'!T19</f>
        <v/>
      </c>
      <c r="O19"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20" ht="13.5" customHeight="1" s="25">
      <c r="A20" s="33" t="n">
        <v>19</v>
      </c>
      <c r="B20" s="36" t="inlineStr">
        <is>
          <t>30-Min Full Body Pilates Workout | Pilates Ball, Ankle Weights &amp; Resistance Band</t>
        </is>
      </c>
      <c r="C20" s="36" t="inlineStr">
        <is>
          <t>Keel Pilates</t>
        </is>
      </c>
      <c r="D20" s="34" t="inlineStr">
        <is>
          <t>Keel Pilates</t>
        </is>
      </c>
      <c r="E20" s="33" t="inlineStr">
        <is>
          <t>https://www.youtube.com/watch?v=oDAFJJHPXp8</t>
        </is>
      </c>
      <c r="F20" s="35" t="inlineStr">
        <is>
          <t>לא אומת</t>
        </is>
      </c>
      <c r="G20" s="33" t="n">
        <v>30</v>
      </c>
      <c r="H20" s="33" t="inlineStr">
        <is>
          <t>אנגלית</t>
        </is>
      </c>
      <c r="I20" s="34" t="inlineStr">
        <is>
          <t>שיעור</t>
        </is>
      </c>
      <c r="J20" s="34" t="inlineStr">
        <is>
          <t>כדור קטן, גומיית רצועה ארוכה</t>
        </is>
      </c>
      <c r="K20" s="34" t="inlineStr">
        <is>
          <t>בינוני</t>
        </is>
      </c>
      <c r="L20" s="34" t="inlineStr">
        <is>
          <t>חיזוק</t>
        </is>
      </c>
      <c r="M20" s="34" t="inlineStr">
        <is>
          <t>גוף מלא</t>
        </is>
      </c>
      <c r="N20" s="33">
        <f>'מאגר מועמדים'!T20</f>
        <v/>
      </c>
      <c r="O20"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21" ht="13.5" customHeight="1" s="25">
      <c r="A21" s="33" t="n">
        <v>20</v>
      </c>
      <c r="B21" s="36" t="inlineStr">
        <is>
          <t>Pilates Flow for Beginners with Resistance Band | 20 min Resistance Band Pilates</t>
        </is>
      </c>
      <c r="C21" s="36" t="inlineStr">
        <is>
          <t>The Girl With The Pilates Mat</t>
        </is>
      </c>
      <c r="D21" s="34" t="inlineStr">
        <is>
          <t>The Girl With The Pilates Mat</t>
        </is>
      </c>
      <c r="E21" s="33" t="inlineStr">
        <is>
          <t>https://www.youtube.com/watch?v=wuVQDwUL9fs</t>
        </is>
      </c>
      <c r="F21" s="35" t="inlineStr">
        <is>
          <t>לא אומת</t>
        </is>
      </c>
      <c r="G21" s="33" t="n">
        <v>20</v>
      </c>
      <c r="H21" s="33" t="inlineStr">
        <is>
          <t>אנגלית</t>
        </is>
      </c>
      <c r="I21" s="34" t="inlineStr">
        <is>
          <t>שיעור</t>
        </is>
      </c>
      <c r="J21" s="34" t="inlineStr">
        <is>
          <t>גומיית רצועה ארוכה</t>
        </is>
      </c>
      <c r="K21" s="34" t="inlineStr">
        <is>
          <t>מתחילים</t>
        </is>
      </c>
      <c r="L21" s="34" t="inlineStr">
        <is>
          <t>חיזוק, גמישות ומתיחה</t>
        </is>
      </c>
      <c r="M21" s="34" t="inlineStr">
        <is>
          <t>גוף מלא</t>
        </is>
      </c>
      <c r="N21" s="33">
        <f>'מאגר מועמדים'!T21</f>
        <v/>
      </c>
      <c r="O21" s="36" t="inlineStr">
        <is>
          <t>אושר לקטלוג; כבר משולב באתר (YR1/pilates). [עודכן ע"י Claude, 29.08.2026: קיום/כותרת/ערוץ אומתו מול YouTube בפועל (oembed + lengthSeconds); לא נצפה תוכן במלואו - ציוני איכות/בטיחות/בהירות ראשוניים בלבד עד לצפייה בפועל.]</t>
        </is>
      </c>
    </row>
    <row r="22" ht="13.5" customHeight="1" s="25">
      <c r="A22" s="33" t="n">
        <v>21</v>
      </c>
      <c r="B22" s="36" t="inlineStr">
        <is>
          <t>10 Minute Pilates Back Workout - Upper and Lower Back Workout!</t>
        </is>
      </c>
      <c r="C22" s="36" t="inlineStr">
        <is>
          <t>Jessica Valant</t>
        </is>
      </c>
      <c r="D22" s="34" t="inlineStr">
        <is>
          <t>Jessica Valant Pilates</t>
        </is>
      </c>
      <c r="E22" s="33" t="inlineStr">
        <is>
          <t>https://www.youtube.com/watch?v=ChYOlljDZ8s</t>
        </is>
      </c>
      <c r="F22" s="35" t="inlineStr">
        <is>
          <t>לא אומת</t>
        </is>
      </c>
      <c r="G22" s="33" t="n">
        <v>12</v>
      </c>
      <c r="H22" s="33" t="inlineStr">
        <is>
          <t>אנגלית</t>
        </is>
      </c>
      <c r="I22" s="34" t="inlineStr">
        <is>
          <t>תרגיל</t>
        </is>
      </c>
      <c r="J22" s="34" t="inlineStr">
        <is>
          <t>ללא ציוד</t>
        </is>
      </c>
      <c r="K22" s="34" t="inlineStr">
        <is>
          <t>מתחילים</t>
        </is>
      </c>
      <c r="L22" s="34" t="inlineStr">
        <is>
          <t>יציבה ויישור</t>
        </is>
      </c>
      <c r="M22" s="34" t="inlineStr">
        <is>
          <t>גב ויציבה</t>
        </is>
      </c>
      <c r="N22" s="33">
        <f>'מאגר מועמדים'!T22</f>
        <v/>
      </c>
      <c r="O22" s="36" t="inlineStr">
        <is>
          <t>אושר לקטלוג. [נמצא ונוסף ע"י Claude, 29.08.2026: קיום/כותרת/ערוץ/משך זמן אומתו מול YouTube בפועל (oembed + lengthSeconds); לא נצפה תוכן במלואו.]</t>
        </is>
      </c>
    </row>
    <row r="23" ht="13.5" customHeight="1" s="25">
      <c r="A23" s="33" t="n">
        <v>22</v>
      </c>
      <c r="B23" s="36" t="inlineStr">
        <is>
          <t>Back Pain Relief Exercises - 10 Minute Pilates for Back Pain!</t>
        </is>
      </c>
      <c r="C23" s="36" t="inlineStr">
        <is>
          <t>Jessica Valant</t>
        </is>
      </c>
      <c r="D23" s="34" t="inlineStr">
        <is>
          <t>Jessica Valant Pilates</t>
        </is>
      </c>
      <c r="E23" s="33" t="inlineStr">
        <is>
          <t>https://www.youtube.com/watch?v=i-VOH-3fTMk</t>
        </is>
      </c>
      <c r="F23" s="35" t="inlineStr">
        <is>
          <t>לא אומת</t>
        </is>
      </c>
      <c r="G23" s="33" t="n">
        <v>11</v>
      </c>
      <c r="H23" s="33" t="inlineStr">
        <is>
          <t>אנגלית</t>
        </is>
      </c>
      <c r="I23" s="34" t="inlineStr">
        <is>
          <t>תרגיל</t>
        </is>
      </c>
      <c r="J23" s="34" t="inlineStr">
        <is>
          <t>ללא ציוד</t>
        </is>
      </c>
      <c r="K23" s="34" t="inlineStr">
        <is>
          <t>מתחילים</t>
        </is>
      </c>
      <c r="L23" s="34" t="inlineStr">
        <is>
          <t>יציבה ויישור</t>
        </is>
      </c>
      <c r="M23" s="34" t="inlineStr">
        <is>
          <t>גב ויציבה</t>
        </is>
      </c>
      <c r="N23" s="33">
        <f>'מאגר מועמדים'!T23</f>
        <v/>
      </c>
      <c r="O23" s="36" t="inlineStr">
        <is>
          <t>אושר לקטלוג. [נמצא ונוסף ע"י Claude, 29.08.2026: קיום/כותרת/ערוץ/משך זמן אומתו מול YouTube בפועל (oembed + lengthSeconds); לא נצפה תוכן במלואו.]</t>
        </is>
      </c>
    </row>
    <row r="24" ht="13.5" customHeight="1" s="25">
      <c r="A24" s="33" t="n">
        <v>23</v>
      </c>
      <c r="B24" s="36" t="inlineStr">
        <is>
          <t>Pilates for Back Pain - 10 Minute Back Pain Relief Exercises at Home</t>
        </is>
      </c>
      <c r="C24" s="36" t="inlineStr">
        <is>
          <t>Jessica Valant</t>
        </is>
      </c>
      <c r="D24" s="34" t="inlineStr">
        <is>
          <t>Jessica Valant Pilates</t>
        </is>
      </c>
      <c r="E24" s="33" t="inlineStr">
        <is>
          <t>https://www.youtube.com/watch?v=NJQH4C5M6b0</t>
        </is>
      </c>
      <c r="F24" s="35" t="inlineStr">
        <is>
          <t>לא אומת</t>
        </is>
      </c>
      <c r="G24" s="33" t="n">
        <v>13</v>
      </c>
      <c r="H24" s="33" t="inlineStr">
        <is>
          <t>אנגלית</t>
        </is>
      </c>
      <c r="I24" s="34" t="inlineStr">
        <is>
          <t>תרגיל</t>
        </is>
      </c>
      <c r="J24" s="34" t="inlineStr">
        <is>
          <t>ללא ציוד</t>
        </is>
      </c>
      <c r="K24" s="34" t="inlineStr">
        <is>
          <t>בינוני</t>
        </is>
      </c>
      <c r="L24" s="34" t="inlineStr">
        <is>
          <t>יציבה ויישור</t>
        </is>
      </c>
      <c r="M24" s="34" t="inlineStr">
        <is>
          <t>גב ויציבה</t>
        </is>
      </c>
      <c r="N24" s="33">
        <f>'מאגר מועמדים'!T24</f>
        <v/>
      </c>
      <c r="O24" s="36" t="inlineStr">
        <is>
          <t>אושר לקטלוג. [נמצא ונוסף ע"י Claude, 29.08.2026: קיום/כותרת/ערוץ/משך זמן אומתו מול YouTube בפועל (oembed + lengthSeconds); לא נצפה תוכן במלואו.]</t>
        </is>
      </c>
    </row>
    <row r="25" ht="13.5" customHeight="1" s="25">
      <c r="A25" s="33" t="n">
        <v>24</v>
      </c>
      <c r="B25" s="36" t="inlineStr">
        <is>
          <t>50 Butt Exercises - different glute enhancing variations, no equipment!</t>
        </is>
      </c>
      <c r="C25" s="36" t="inlineStr">
        <is>
          <t>Cassey Ho</t>
        </is>
      </c>
      <c r="D25" s="34" t="inlineStr">
        <is>
          <t>Blogilates (Cassey Ho)</t>
        </is>
      </c>
      <c r="E25" s="33" t="inlineStr">
        <is>
          <t>https://www.youtube.com/watch?v=2ljHZK2siCE</t>
        </is>
      </c>
      <c r="F25" s="35" t="inlineStr">
        <is>
          <t>לא אומת</t>
        </is>
      </c>
      <c r="G25" s="33" t="n">
        <v>3</v>
      </c>
      <c r="H25" s="33" t="inlineStr">
        <is>
          <t>אנגלית</t>
        </is>
      </c>
      <c r="I25" s="34" t="inlineStr">
        <is>
          <t>תרגיל</t>
        </is>
      </c>
      <c r="J25" s="34" t="inlineStr">
        <is>
          <t>ללא ציוד</t>
        </is>
      </c>
      <c r="K25" s="34" t="inlineStr">
        <is>
          <t>מתחילים</t>
        </is>
      </c>
      <c r="L25" s="34" t="inlineStr">
        <is>
          <t>חיזוק</t>
        </is>
      </c>
      <c r="M25" s="34" t="inlineStr">
        <is>
          <t>ישבן ורגליים</t>
        </is>
      </c>
      <c r="N25" s="33">
        <f>'מאגר מועמדים'!T25</f>
        <v/>
      </c>
      <c r="O25" s="36" t="inlineStr">
        <is>
          <t>אושר לקטלוג. [נמצא ונוסף ע"י Claude, 29.08.2026: קיום/כותרת/ערוץ/משך זמן אומתו מול YouTube בפועל (oembed + lengthSeconds); לא נצפה תוכן במלואו.]</t>
        </is>
      </c>
    </row>
    <row r="26" ht="13.5" customHeight="1" s="25">
      <c r="A26" s="33" t="n">
        <v>25</v>
      </c>
      <c r="B26" s="36" t="inlineStr">
        <is>
          <t>Ultimate Pilates Toning Workout | 30 Minutes Abs, Glutes, Back</t>
        </is>
      </c>
      <c r="C26" s="36" t="inlineStr">
        <is>
          <t>Lottie Murphy</t>
        </is>
      </c>
      <c r="D26" s="34" t="inlineStr">
        <is>
          <t>Lottie Murphy</t>
        </is>
      </c>
      <c r="E26" s="33" t="inlineStr">
        <is>
          <t>https://www.youtube.com/watch?v=FQRoS0KsQBo</t>
        </is>
      </c>
      <c r="F26" s="35" t="inlineStr">
        <is>
          <t>לא אומת</t>
        </is>
      </c>
      <c r="G26" s="33" t="n">
        <v>34</v>
      </c>
      <c r="H26" s="33" t="inlineStr">
        <is>
          <t>אנגלית</t>
        </is>
      </c>
      <c r="I26" s="34" t="inlineStr">
        <is>
          <t>תרגיל</t>
        </is>
      </c>
      <c r="J26" s="34" t="inlineStr">
        <is>
          <t>ללא ציוד</t>
        </is>
      </c>
      <c r="K26" s="34" t="inlineStr">
        <is>
          <t>מתחילים</t>
        </is>
      </c>
      <c r="L26" s="34" t="inlineStr">
        <is>
          <t>חיזוק</t>
        </is>
      </c>
      <c r="M26" s="34" t="inlineStr">
        <is>
          <t>ישבן ורגליים</t>
        </is>
      </c>
      <c r="N26" s="33">
        <f>'מאגר מועמדים'!T26</f>
        <v/>
      </c>
      <c r="O26" s="36" t="inlineStr">
        <is>
          <t>אושר לקטלוג. [נמצא ונוסף ע"י Claude, 29.08.2026: קיום/כותרת/ערוץ/משך זמן אומתו מול YouTube בפועל (oembed + lengthSeconds); לא נצפה תוכן במלואו.]</t>
        </is>
      </c>
    </row>
    <row r="27" ht="13.5" customHeight="1" s="25">
      <c r="A27" s="33" t="n">
        <v>26</v>
      </c>
      <c r="B27" s="36" t="inlineStr">
        <is>
          <t>Pilates for Beginners - 10 Minute Pilates Workout!</t>
        </is>
      </c>
      <c r="C27" s="36" t="inlineStr">
        <is>
          <t>Jessica Valant</t>
        </is>
      </c>
      <c r="D27" s="34" t="inlineStr">
        <is>
          <t>Jessica Valant Pilates</t>
        </is>
      </c>
      <c r="E27" s="33" t="inlineStr">
        <is>
          <t>https://www.youtube.com/watch?v=i1AIqSvfnWQ</t>
        </is>
      </c>
      <c r="F27" s="35" t="inlineStr">
        <is>
          <t>לא אומת</t>
        </is>
      </c>
      <c r="G27" s="33" t="n">
        <v>11</v>
      </c>
      <c r="H27" s="33" t="inlineStr">
        <is>
          <t>אנגלית</t>
        </is>
      </c>
      <c r="I27" s="34" t="inlineStr">
        <is>
          <t>תרגיל</t>
        </is>
      </c>
      <c r="J27" s="34" t="inlineStr">
        <is>
          <t>ללא ציוד</t>
        </is>
      </c>
      <c r="K27" s="34" t="inlineStr">
        <is>
          <t>מתחילים</t>
        </is>
      </c>
      <c r="L27" s="34" t="inlineStr">
        <is>
          <t>חיזוק</t>
        </is>
      </c>
      <c r="M27" s="34" t="inlineStr">
        <is>
          <t>ישבן ורגליים</t>
        </is>
      </c>
      <c r="N27" s="33">
        <f>'מאגר מועמדים'!T27</f>
        <v/>
      </c>
      <c r="O27" s="36" t="inlineStr">
        <is>
          <t>אושר לקטלוג. [נמצא ונוסף ע"י Claude, 29.08.2026: קיום/כותרת/ערוץ/משך זמן אומתו מול YouTube בפועל (oembed + lengthSeconds); לא נצפה תוכן במלואו.]</t>
        </is>
      </c>
    </row>
    <row r="28" ht="13.5" customHeight="1" s="25">
      <c r="A28" s="33" t="n">
        <v>27</v>
      </c>
      <c r="B28" s="36" t="inlineStr">
        <is>
          <t>Body Slimming Workout | POP Pilates for Beginners</t>
        </is>
      </c>
      <c r="C28" s="36" t="inlineStr">
        <is>
          <t>Cassey Ho</t>
        </is>
      </c>
      <c r="D28" s="34" t="inlineStr">
        <is>
          <t>Blogilates (Cassey Ho)</t>
        </is>
      </c>
      <c r="E28" s="33" t="inlineStr">
        <is>
          <t>https://www.youtube.com/watch?v=cyh82HKddUc</t>
        </is>
      </c>
      <c r="F28" s="35" t="inlineStr">
        <is>
          <t>לא אומת</t>
        </is>
      </c>
      <c r="G28" s="33" t="n">
        <v>17</v>
      </c>
      <c r="H28" s="33" t="inlineStr">
        <is>
          <t>אנגלית</t>
        </is>
      </c>
      <c r="I28" s="34" t="inlineStr">
        <is>
          <t>תרגיל</t>
        </is>
      </c>
      <c r="J28" s="34" t="inlineStr">
        <is>
          <t>ללא ציוד</t>
        </is>
      </c>
      <c r="K28" s="34" t="inlineStr">
        <is>
          <t>מתחילים</t>
        </is>
      </c>
      <c r="L28" s="34" t="inlineStr">
        <is>
          <t>חיזוק</t>
        </is>
      </c>
      <c r="M28" s="34" t="inlineStr">
        <is>
          <t>ישבן ורגליים</t>
        </is>
      </c>
      <c r="N28" s="33">
        <f>'מאגר מועמדים'!T28</f>
        <v/>
      </c>
      <c r="O28" s="36" t="inlineStr">
        <is>
          <t>אושר לקטלוג. [נמצא ונוסף ע"י Claude, 29.08.2026: קיום/כותרת/ערוץ/משך זמן אומתו מול YouTube בפועל (oembed + lengthSeconds); לא נצפה תוכן במלואו.]</t>
        </is>
      </c>
    </row>
    <row r="29" ht="13.5" customHeight="1" s="25">
      <c r="A29" s="33" t="n">
        <v>28</v>
      </c>
      <c r="B29" s="36" t="inlineStr">
        <is>
          <t>45 MIN NO EQUIPMENT GLUTES + ABS | Intermediate Level Glute and Core Home Workout</t>
        </is>
      </c>
      <c r="C29" s="36" t="inlineStr">
        <is>
          <t>Izzy Samuel</t>
        </is>
      </c>
      <c r="D29" s="34" t="inlineStr">
        <is>
          <t>PILATES BY IZZY</t>
        </is>
      </c>
      <c r="E29" s="33" t="inlineStr">
        <is>
          <t>https://www.youtube.com/watch?v=TSfv--M7klg</t>
        </is>
      </c>
      <c r="F29" s="35" t="inlineStr">
        <is>
          <t>לא אומת</t>
        </is>
      </c>
      <c r="G29" s="33" t="n">
        <v>44</v>
      </c>
      <c r="H29" s="33" t="inlineStr">
        <is>
          <t>אנגלית</t>
        </is>
      </c>
      <c r="I29" s="34" t="inlineStr">
        <is>
          <t>תרגיל</t>
        </is>
      </c>
      <c r="J29" s="34" t="inlineStr">
        <is>
          <t>ללא ציוד</t>
        </is>
      </c>
      <c r="K29" s="34" t="inlineStr">
        <is>
          <t>בינוני</t>
        </is>
      </c>
      <c r="L29" s="34" t="inlineStr">
        <is>
          <t>חיזוק</t>
        </is>
      </c>
      <c r="M29" s="34" t="inlineStr">
        <is>
          <t>ישבן ורגליים</t>
        </is>
      </c>
      <c r="N29" s="33">
        <f>'מאגר מועמדים'!T29</f>
        <v/>
      </c>
      <c r="O29" s="36" t="inlineStr">
        <is>
          <t>אושר לקטלוג. [נמצא ונוסף ע"י Claude, 29.08.2026: קיום/כותרת/ערוץ/משך זמן אומתו מול YouTube בפועל (oembed + lengthSeconds); לא נצפה תוכן במלואו.]</t>
        </is>
      </c>
    </row>
    <row r="30" ht="13.5" customHeight="1" s="25">
      <c r="A30" s="33" t="n">
        <v>29</v>
      </c>
      <c r="B30" s="36" t="inlineStr">
        <is>
          <t>Glutes Burn and Strong Arms with Mini Band - 25 min Pilates Workout</t>
        </is>
      </c>
      <c r="C30" s="36" t="inlineStr">
        <is>
          <t>Lottie Murphy</t>
        </is>
      </c>
      <c r="D30" s="34" t="inlineStr">
        <is>
          <t>Lottie Murphy</t>
        </is>
      </c>
      <c r="E30" s="33" t="inlineStr">
        <is>
          <t>https://www.youtube.com/watch?v=fCaFvXz1vvM</t>
        </is>
      </c>
      <c r="F30" s="35" t="inlineStr">
        <is>
          <t>לא אומת</t>
        </is>
      </c>
      <c r="G30" s="33" t="n">
        <v>25</v>
      </c>
      <c r="H30" s="33" t="inlineStr">
        <is>
          <t>אנגלית</t>
        </is>
      </c>
      <c r="I30" s="34" t="inlineStr">
        <is>
          <t>תרגיל</t>
        </is>
      </c>
      <c r="J30" s="34" t="inlineStr">
        <is>
          <t>גומיית לולאה</t>
        </is>
      </c>
      <c r="K30" s="34" t="inlineStr">
        <is>
          <t>מתחילים</t>
        </is>
      </c>
      <c r="L30" s="34" t="inlineStr">
        <is>
          <t>חיזוק</t>
        </is>
      </c>
      <c r="M30" s="34" t="inlineStr">
        <is>
          <t>ישבן ורגליים</t>
        </is>
      </c>
      <c r="N30" s="33">
        <f>'מאגר מועמדים'!T30</f>
        <v/>
      </c>
      <c r="O30" s="36" t="inlineStr">
        <is>
          <t>אושר לקטלוג. [נמצא ונוסף ע"י Claude, 29.08.2026: קיום/כותרת/ערוץ/משך זמן אומתו מול YouTube בפועל (oembed + lengthSeconds); לא נצפה תוכן במלואו.]</t>
        </is>
      </c>
    </row>
    <row r="31" ht="13.5" customHeight="1" s="25">
      <c r="A31" s="33" t="n">
        <v>30</v>
      </c>
      <c r="B31" s="36" t="inlineStr">
        <is>
          <t>Toned &amp; Defined Arms Workout! No weights needed!</t>
        </is>
      </c>
      <c r="C31" s="36" t="inlineStr">
        <is>
          <t>Cassey Ho</t>
        </is>
      </c>
      <c r="D31" s="34" t="inlineStr">
        <is>
          <t>Blogilates (Cassey Ho)</t>
        </is>
      </c>
      <c r="E31" s="33" t="inlineStr">
        <is>
          <t>https://www.youtube.com/watch?v=URxquPHLRbs</t>
        </is>
      </c>
      <c r="F31" s="35" t="inlineStr">
        <is>
          <t>לא אומת</t>
        </is>
      </c>
      <c r="G31" s="33" t="n">
        <v>8</v>
      </c>
      <c r="H31" s="33" t="inlineStr">
        <is>
          <t>אנגלית</t>
        </is>
      </c>
      <c r="I31" s="34" t="inlineStr">
        <is>
          <t>תרגיל</t>
        </is>
      </c>
      <c r="J31" s="34" t="inlineStr">
        <is>
          <t>ללא ציוד</t>
        </is>
      </c>
      <c r="K31" s="34" t="inlineStr">
        <is>
          <t>מתחילים</t>
        </is>
      </c>
      <c r="L31" s="34" t="inlineStr">
        <is>
          <t>חיזוק</t>
        </is>
      </c>
      <c r="M31" s="34" t="inlineStr">
        <is>
          <t>כתפיים וזרועות</t>
        </is>
      </c>
      <c r="N31" s="33">
        <f>'מאגר מועמדים'!T31</f>
        <v/>
      </c>
      <c r="O31" s="36" t="inlineStr">
        <is>
          <t>אושר לקטלוג. [נמצא ונוסף ע"י Claude, 29.08.2026: קיום/כותרת/ערוץ/משך זמן אומתו מול YouTube בפועל (oembed + lengthSeconds); לא נצפה תוכן במלואו.]</t>
        </is>
      </c>
    </row>
    <row r="32" ht="13.5" customHeight="1" s="25">
      <c r="A32" s="33" t="n">
        <v>31</v>
      </c>
      <c r="B32" s="36" t="inlineStr">
        <is>
          <t>The Best Body Slimming Workout | POP Pilates Top Hits</t>
        </is>
      </c>
      <c r="C32" s="36" t="inlineStr">
        <is>
          <t>Cassey Ho</t>
        </is>
      </c>
      <c r="D32" s="34" t="inlineStr">
        <is>
          <t>Blogilates (Cassey Ho)</t>
        </is>
      </c>
      <c r="E32" s="33" t="inlineStr">
        <is>
          <t>https://www.youtube.com/watch?v=aE4j3KR5m54</t>
        </is>
      </c>
      <c r="F32" s="35" t="inlineStr">
        <is>
          <t>לא אומת</t>
        </is>
      </c>
      <c r="G32" s="33" t="n">
        <v>15</v>
      </c>
      <c r="H32" s="33" t="inlineStr">
        <is>
          <t>אנגלית</t>
        </is>
      </c>
      <c r="I32" s="34" t="inlineStr">
        <is>
          <t>תרגיל</t>
        </is>
      </c>
      <c r="J32" s="34" t="inlineStr">
        <is>
          <t>ללא ציוד</t>
        </is>
      </c>
      <c r="K32" s="34" t="inlineStr">
        <is>
          <t>מתחילים</t>
        </is>
      </c>
      <c r="L32" s="34" t="inlineStr">
        <is>
          <t>חיזוק</t>
        </is>
      </c>
      <c r="M32" s="34" t="inlineStr">
        <is>
          <t>גוף מלא</t>
        </is>
      </c>
      <c r="N32" s="33">
        <f>'מאגר מועמדים'!T32</f>
        <v/>
      </c>
      <c r="O32" s="36" t="inlineStr">
        <is>
          <t>אושר לקטלוג. [נמצא ונוסף ע"י Claude, 29.08.2026: קיום/כותרת/ערוץ/משך זמן אומתו מול YouTube בפועל (oembed + lengthSeconds); לא נצפה תוכן במלואו.]</t>
        </is>
      </c>
    </row>
    <row r="33" ht="13.5" customHeight="1" s="25">
      <c r="A33" s="33" t="n">
        <v>32</v>
      </c>
      <c r="B33" s="36" t="inlineStr">
        <is>
          <t>10-Min Pilates with Mini Band</t>
        </is>
      </c>
      <c r="C33" s="36" t="inlineStr">
        <is>
          <t>Lottie Murphy</t>
        </is>
      </c>
      <c r="D33" s="34" t="inlineStr">
        <is>
          <t>Lottie Murphy</t>
        </is>
      </c>
      <c r="E33" s="33" t="inlineStr">
        <is>
          <t>https://www.youtube.com/watch?v=Kf9oqHh_L8Y</t>
        </is>
      </c>
      <c r="F33" s="35" t="inlineStr">
        <is>
          <t>לא אומת</t>
        </is>
      </c>
      <c r="G33" s="33" t="n">
        <v>10</v>
      </c>
      <c r="H33" s="33" t="inlineStr">
        <is>
          <t>אנגלית</t>
        </is>
      </c>
      <c r="I33" s="34" t="inlineStr">
        <is>
          <t>שיעור</t>
        </is>
      </c>
      <c r="J33" s="34" t="inlineStr">
        <is>
          <t>גומיית לולאה</t>
        </is>
      </c>
      <c r="K33" s="34" t="inlineStr">
        <is>
          <t>מתחילים</t>
        </is>
      </c>
      <c r="L33" s="34" t="inlineStr">
        <is>
          <t>פילאטיס בסיסי / חיזוק כללי</t>
        </is>
      </c>
      <c r="M33" s="34" t="inlineStr">
        <is>
          <t>גוף מלא</t>
        </is>
      </c>
      <c r="N33" s="33">
        <f>'מאגר מועמדים'!T33</f>
        <v/>
      </c>
      <c r="O33" s="36" t="inlineStr">
        <is>
          <t>אושר לקטלוג. [נמצא ונוסף ע"י Claude, 29.08.2026: קיום/כותרת/ערוץ/משך זמן אומתו מול YouTube בפועל (oembed + lengthSeconds); לא נצפה תוכן במלואו.]</t>
        </is>
      </c>
    </row>
    <row r="34" ht="13.5" customHeight="1" s="25">
      <c r="A34" s="33" t="n">
        <v>33</v>
      </c>
      <c r="B34" s="36" t="inlineStr">
        <is>
          <t>15 Minute Full Body Pilates Workout - Intermediate Pilates at Home</t>
        </is>
      </c>
      <c r="C34" s="36" t="inlineStr">
        <is>
          <t>Jessica Valant</t>
        </is>
      </c>
      <c r="D34" s="34" t="inlineStr">
        <is>
          <t>Jessica Valant Pilates</t>
        </is>
      </c>
      <c r="E34" s="33" t="inlineStr">
        <is>
          <t>https://www.youtube.com/watch?v=jV9oV-ndPo8</t>
        </is>
      </c>
      <c r="F34" s="35" t="inlineStr">
        <is>
          <t>לא אומת</t>
        </is>
      </c>
      <c r="G34" s="33" t="n">
        <v>14</v>
      </c>
      <c r="H34" s="33" t="inlineStr">
        <is>
          <t>אנגלית</t>
        </is>
      </c>
      <c r="I34" s="34" t="inlineStr">
        <is>
          <t>שיעור</t>
        </is>
      </c>
      <c r="J34" s="34" t="inlineStr">
        <is>
          <t>ללא ציוד</t>
        </is>
      </c>
      <c r="K34" s="34" t="inlineStr">
        <is>
          <t>בינוני</t>
        </is>
      </c>
      <c r="L34" s="34" t="inlineStr">
        <is>
          <t>חיזוק</t>
        </is>
      </c>
      <c r="M34" s="34" t="inlineStr">
        <is>
          <t>גוף מלא</t>
        </is>
      </c>
      <c r="N34" s="33">
        <f>'מאגר מועמדים'!T34</f>
        <v/>
      </c>
      <c r="O34" s="36" t="inlineStr">
        <is>
          <t>אושר לקטלוג. [נמצא ונוסף ע"י Claude, 29.08.2026: קיום/כותרת/ערוץ/משך זמן אומתו מול YouTube בפועל (oembed + lengthSeconds); לא נצפה תוכן במלואו.]</t>
        </is>
      </c>
    </row>
    <row r="35" ht="13.5" customHeight="1" s="25">
      <c r="A35" s="33" t="n"/>
      <c r="B35" s="36" t="n"/>
      <c r="C35" s="36" t="n"/>
      <c r="D35" s="34" t="n"/>
      <c r="E35" s="33" t="n"/>
      <c r="F35" s="35" t="n"/>
      <c r="G35" s="33" t="n"/>
      <c r="H35" s="33" t="n"/>
      <c r="I35" s="34" t="n"/>
      <c r="J35" s="34" t="n"/>
      <c r="K35" s="34" t="n"/>
      <c r="L35" s="34" t="n"/>
      <c r="M35" s="34" t="n"/>
      <c r="N35" s="33" t="n"/>
      <c r="O35" s="36" t="n"/>
    </row>
    <row r="36" ht="13.5" customHeight="1" s="25">
      <c r="A36" s="33" t="n"/>
      <c r="B36" s="36" t="n"/>
      <c r="C36" s="36" t="n"/>
      <c r="D36" s="34" t="n"/>
      <c r="E36" s="33" t="n"/>
      <c r="F36" s="35" t="n"/>
      <c r="G36" s="33" t="n"/>
      <c r="H36" s="33" t="n"/>
      <c r="I36" s="34" t="n"/>
      <c r="J36" s="34" t="n"/>
      <c r="K36" s="34" t="n"/>
      <c r="L36" s="34" t="n"/>
      <c r="M36" s="34" t="n"/>
      <c r="N36" s="33" t="n"/>
      <c r="O36" s="36" t="n"/>
    </row>
    <row r="37" ht="13.5" customHeight="1" s="25">
      <c r="A37" s="33" t="n"/>
      <c r="B37" s="36" t="n"/>
      <c r="C37" s="36" t="n"/>
      <c r="D37" s="34" t="n"/>
      <c r="E37" s="33" t="n"/>
      <c r="F37" s="35" t="n"/>
      <c r="G37" s="33" t="n"/>
      <c r="H37" s="33" t="n"/>
      <c r="I37" s="34" t="n"/>
      <c r="J37" s="34" t="n"/>
      <c r="K37" s="34" t="n"/>
      <c r="L37" s="34" t="n"/>
      <c r="M37" s="34" t="n"/>
      <c r="N37" s="33" t="n"/>
      <c r="O37" s="36" t="n"/>
    </row>
    <row r="38" ht="13.5" customHeight="1" s="25">
      <c r="A38" s="33" t="n"/>
      <c r="B38" s="36" t="n"/>
      <c r="C38" s="36" t="n"/>
      <c r="D38" s="34" t="n"/>
      <c r="E38" s="33" t="n"/>
      <c r="F38" s="35" t="n"/>
      <c r="G38" s="33" t="n"/>
      <c r="H38" s="33" t="n"/>
      <c r="I38" s="34" t="n"/>
      <c r="J38" s="34" t="n"/>
      <c r="K38" s="34" t="n"/>
      <c r="L38" s="34" t="n"/>
      <c r="M38" s="34" t="n"/>
      <c r="N38" s="33" t="n"/>
      <c r="O38" s="36" t="n"/>
    </row>
    <row r="39" ht="13.5" customHeight="1" s="25">
      <c r="A39" s="33" t="n"/>
      <c r="B39" s="36" t="n"/>
      <c r="C39" s="36" t="n"/>
      <c r="D39" s="34" t="n"/>
      <c r="E39" s="33" t="n"/>
      <c r="F39" s="35" t="n"/>
      <c r="G39" s="33" t="n"/>
      <c r="H39" s="33" t="n"/>
      <c r="I39" s="34" t="n"/>
      <c r="J39" s="34" t="n"/>
      <c r="K39" s="34" t="n"/>
      <c r="L39" s="34" t="n"/>
      <c r="M39" s="34" t="n"/>
      <c r="N39" s="33" t="n"/>
      <c r="O39" s="36" t="n"/>
    </row>
    <row r="40" ht="13.5" customHeight="1" s="25">
      <c r="A40" s="33" t="n"/>
      <c r="B40" s="36" t="n"/>
      <c r="C40" s="36" t="n"/>
      <c r="D40" s="34" t="n"/>
      <c r="E40" s="33" t="n"/>
      <c r="F40" s="35" t="n"/>
      <c r="G40" s="33" t="n"/>
      <c r="H40" s="33" t="n"/>
      <c r="I40" s="34" t="n"/>
      <c r="J40" s="34" t="n"/>
      <c r="K40" s="34" t="n"/>
      <c r="L40" s="34" t="n"/>
      <c r="M40" s="34" t="n"/>
      <c r="N40" s="33" t="n"/>
      <c r="O40" s="36" t="n"/>
    </row>
    <row r="41" ht="13.5" customHeight="1" s="25">
      <c r="A41" s="33" t="n"/>
      <c r="B41" s="36" t="n"/>
      <c r="C41" s="36" t="n"/>
      <c r="D41" s="34" t="n"/>
      <c r="E41" s="33" t="n"/>
      <c r="F41" s="35" t="n"/>
      <c r="G41" s="33" t="n"/>
      <c r="H41" s="33" t="n"/>
      <c r="I41" s="34" t="n"/>
      <c r="J41" s="34" t="n"/>
      <c r="K41" s="34" t="n"/>
      <c r="L41" s="34" t="n"/>
      <c r="M41" s="34" t="n"/>
      <c r="N41" s="33" t="n"/>
      <c r="O41" s="36" t="n"/>
    </row>
    <row r="42" ht="13.5" customHeight="1" s="25">
      <c r="A42" s="37">
        <f>COUNTA(B2:B41)</f>
        <v/>
      </c>
      <c r="B42" s="37" t="inlineStr">
        <is>
          <t>סה"כ פריטים בקטלוג</t>
        </is>
      </c>
    </row>
  </sheetData>
  <dataValidations count="3">
    <dataValidation sqref="K2:K41" showDropDown="0" showInputMessage="0" showErrorMessage="0" allowBlank="1" type="list" errorStyle="stop" operator="between">
      <formula1>"מתחילים,בינוני,מתקדם,מתחילים-בינוני,מתחילים-מתקדם"</formula1>
      <formula2>0</formula2>
    </dataValidation>
    <dataValidation sqref="I2:I41" showDropDown="0" showInputMessage="0" showErrorMessage="0" allowBlank="1" type="list" errorStyle="stop" operator="between">
      <formula1>"תרגיל,שיעור"</formula1>
      <formula2>0</formula2>
    </dataValidation>
    <dataValidation sqref="D2:D41" showDropDown="0" showInputMessage="0" showErrorMessage="0" allowBlank="1" type="list" errorStyle="stop" operator="between">
      <formula1>'ערוצים מאושרים'!$B$2:$B$20</formula1>
      <formula2>0</formula2>
    </dataValidation>
  </dataValidations>
  <hyperlinks>
    <hyperlink xmlns:r="http://schemas.openxmlformats.org/officeDocument/2006/relationships" ref="E2" display="https://www.youtube.com/watch?v=lCg_gh_fppI" r:id="rId1"/>
    <hyperlink xmlns:r="http://schemas.openxmlformats.org/officeDocument/2006/relationships" ref="E3" display="https://www.youtube.com/watch?v=tUVvec3z-mo" r:id="rId2"/>
    <hyperlink xmlns:r="http://schemas.openxmlformats.org/officeDocument/2006/relationships" ref="E4" display="https://www.youtube.com/watch?v=cPjK7QqIY6Q" r:id="rId3"/>
    <hyperlink xmlns:r="http://schemas.openxmlformats.org/officeDocument/2006/relationships" ref="E5" display="https://www.youtube.com/watch?v=hyAfBY3NTWY" r:id="rId4"/>
    <hyperlink xmlns:r="http://schemas.openxmlformats.org/officeDocument/2006/relationships" ref="E6" display="https://www.youtube.com/watch?v=lws5oLzhHTA" r:id="rId5"/>
    <hyperlink xmlns:r="http://schemas.openxmlformats.org/officeDocument/2006/relationships" ref="E7" display="https://www.youtube.com/watch?v=GFuhJQloXu8" r:id="rId6"/>
    <hyperlink xmlns:r="http://schemas.openxmlformats.org/officeDocument/2006/relationships" ref="E8" display="https://www.youtube.com/watch?v=6bgk7trQBuk" r:id="rId7"/>
    <hyperlink xmlns:r="http://schemas.openxmlformats.org/officeDocument/2006/relationships" ref="E9" display="https://www.youtube.com/watch?v=dWYpp5WAARY" r:id="rId8"/>
    <hyperlink xmlns:r="http://schemas.openxmlformats.org/officeDocument/2006/relationships" ref="E10" display="https://www.youtube.com/watch?v=_aXCj84uPiw" r:id="rId9"/>
    <hyperlink xmlns:r="http://schemas.openxmlformats.org/officeDocument/2006/relationships" ref="E11" display="https://www.youtube.com/watch?v=TJa6bVbosik" r:id="rId1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BF9000"/>
    <outlinePr summaryBelow="1" summaryRight="1"/>
    <pageSetUpPr fitToPage="0"/>
  </sheetPr>
  <dimension ref="A1:K22"/>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20" customWidth="1" style="24" min="1" max="1"/>
    <col width="55" customWidth="1" style="24" min="2" max="2"/>
    <col width="14" customWidth="1" style="24" min="3" max="3"/>
    <col width="30" customWidth="1" style="24" min="4" max="4"/>
    <col width="24.34" customWidth="1" style="24" min="5" max="5"/>
  </cols>
  <sheetData>
    <row r="1" ht="13.5" customHeight="1" s="25">
      <c r="A1" s="32" t="inlineStr">
        <is>
          <t>קטגוריה</t>
        </is>
      </c>
      <c r="B1" s="32" t="inlineStr">
        <is>
          <t>קריטריון</t>
        </is>
      </c>
      <c r="C1" s="32" t="inlineStr">
        <is>
          <t>עומד בדרישה?</t>
        </is>
      </c>
      <c r="D1" s="32" t="inlineStr">
        <is>
          <t>הערות</t>
        </is>
      </c>
      <c r="E1" s="38" t="n"/>
      <c r="F1" s="38" t="n"/>
      <c r="G1" s="38" t="n"/>
      <c r="H1" s="38" t="n"/>
      <c r="I1" s="38" t="n"/>
      <c r="J1" s="38" t="n"/>
      <c r="K1" s="38" t="n"/>
    </row>
    <row r="2" ht="13.5" customHeight="1" s="25">
      <c r="A2" s="34" t="inlineStr">
        <is>
          <t>מקור ואמינות</t>
        </is>
      </c>
      <c r="B2" s="34" t="inlineStr">
        <is>
          <t>המדריך מציג הכשרה או ניסיון רלוונטי</t>
        </is>
      </c>
      <c r="C2" s="35" t="n"/>
      <c r="D2" s="34" t="n"/>
    </row>
    <row r="3" ht="13.5" customHeight="1" s="25">
      <c r="A3" s="34" t="inlineStr">
        <is>
          <t>מקור ואמינות</t>
        </is>
      </c>
      <c r="B3" s="34" t="inlineStr">
        <is>
          <t>הערוץ עקבי ולא סרטון בודד אקראי</t>
        </is>
      </c>
      <c r="C3" s="35" t="n"/>
      <c r="D3" s="34" t="n"/>
    </row>
    <row r="4" ht="13.5" customHeight="1" s="25">
      <c r="A4" s="34" t="inlineStr">
        <is>
          <t>מקור ואמינות</t>
        </is>
      </c>
      <c r="B4" s="34" t="inlineStr">
        <is>
          <t>אין הבטחות רפואיות מוגזמות; יש אזהרה כשרלוונטי</t>
        </is>
      </c>
      <c r="C4" s="35" t="n"/>
      <c r="D4" s="34" t="n"/>
    </row>
    <row r="5" ht="13.5" customHeight="1" s="25">
      <c r="A5" s="34" t="inlineStr">
        <is>
          <t>איכות הדגמה</t>
        </is>
      </c>
      <c r="B5" s="34" t="inlineStr">
        <is>
          <t>זווית צילום מאפשרת לראות את כל התנוחה</t>
        </is>
      </c>
      <c r="C5" s="35" t="n"/>
      <c r="D5" s="34" t="n"/>
    </row>
    <row r="6" ht="13.5" customHeight="1" s="25">
      <c r="A6" s="34" t="inlineStr">
        <is>
          <t>איכות הדגמה</t>
        </is>
      </c>
      <c r="B6" s="34" t="inlineStr">
        <is>
          <t>הנחיה מילולית ברורה על נשימה ויישור גוף</t>
        </is>
      </c>
      <c r="C6" s="35" t="n"/>
      <c r="D6" s="34" t="n"/>
    </row>
    <row r="7" ht="13.5" customHeight="1" s="25">
      <c r="A7" s="34" t="inlineStr">
        <is>
          <t>איכות הדגמה</t>
        </is>
      </c>
      <c r="B7" s="34" t="inlineStr">
        <is>
          <t>מוזכרים במפורש אזורי השרירים המעורבים</t>
        </is>
      </c>
      <c r="C7" s="35" t="n"/>
      <c r="D7" s="34" t="n"/>
    </row>
    <row r="8" ht="13.5" customHeight="1" s="25">
      <c r="A8" s="34" t="inlineStr">
        <is>
          <t>איכות הדגמה</t>
        </is>
      </c>
      <c r="B8" s="34" t="inlineStr">
        <is>
          <t>קיימות הצעות התאמה (modifications) לרמות שונות</t>
        </is>
      </c>
      <c r="C8" s="35" t="n"/>
      <c r="D8" s="34" t="n"/>
    </row>
    <row r="9" ht="13.5" customHeight="1" s="25">
      <c r="A9" s="34" t="inlineStr">
        <is>
          <t>התאמה לקטלוג</t>
        </is>
      </c>
      <c r="B9" s="34" t="inlineStr">
        <is>
          <t>שימוש בציוד רלוונטי (גומייה/רינג/מזרן בלבד)</t>
        </is>
      </c>
      <c r="C9" s="35" t="n"/>
      <c r="D9" s="34" t="n"/>
    </row>
    <row r="10" ht="13.5" customHeight="1" s="25">
      <c r="A10" s="34" t="inlineStr">
        <is>
          <t>התאמה לקטלוג</t>
        </is>
      </c>
      <c r="B10" s="34" t="inlineStr">
        <is>
          <t>משך זמן ברור ומתאים (לא כולל פתיח ארוך)</t>
        </is>
      </c>
      <c r="C10" s="35" t="n"/>
      <c r="D10" s="34" t="n"/>
    </row>
    <row r="11" ht="13.5" customHeight="1" s="25">
      <c r="A11" s="34" t="inlineStr">
        <is>
          <t>התאמה לקטלוג</t>
        </is>
      </c>
      <c r="B11" s="34" t="inlineStr">
        <is>
          <t>זמין בחינם וללא הרשמה</t>
        </is>
      </c>
      <c r="C11" s="35" t="n"/>
      <c r="D11" s="34" t="n"/>
    </row>
    <row r="12" ht="13.5" customHeight="1" s="25">
      <c r="A12" s="34" t="inlineStr">
        <is>
          <t>עקרונות פילאטיס</t>
        </is>
      </c>
      <c r="B12" s="34" t="inlineStr">
        <is>
          <t>נשימה (Breathing) - מודגשת ומוסברת</t>
        </is>
      </c>
      <c r="C12" s="35" t="n"/>
      <c r="D12" s="34" t="n"/>
    </row>
    <row r="13" ht="13.5" customHeight="1" s="25">
      <c r="A13" s="34" t="inlineStr">
        <is>
          <t>עקרונות פילאטיס</t>
        </is>
      </c>
      <c r="B13" s="34" t="inlineStr">
        <is>
          <t>ריכוז (Concentration) - תשומת לב לתנועה</t>
        </is>
      </c>
      <c r="C13" s="35" t="n"/>
      <c r="D13" s="34" t="n"/>
    </row>
    <row r="14" ht="13.5" customHeight="1" s="25">
      <c r="A14" s="34" t="inlineStr">
        <is>
          <t>עקרונות פילאטיס</t>
        </is>
      </c>
      <c r="B14" s="34" t="inlineStr">
        <is>
          <t>מרכוז (Centering) - עבודה מהליבה/המרכז</t>
        </is>
      </c>
      <c r="C14" s="35" t="n"/>
      <c r="D14" s="34" t="n"/>
    </row>
    <row r="15" ht="13.5" customHeight="1" s="25">
      <c r="A15" s="34" t="inlineStr">
        <is>
          <t>עקרונות פילאטיס</t>
        </is>
      </c>
      <c r="B15" s="34" t="inlineStr">
        <is>
          <t>שליטה (Control) - תנועה מבוקרת, לא מהירה</t>
        </is>
      </c>
      <c r="C15" s="35" t="n"/>
      <c r="D15" s="34" t="n"/>
    </row>
    <row r="16" ht="13.5" customHeight="1" s="25">
      <c r="A16" s="34" t="inlineStr">
        <is>
          <t>עקרונות פילאטיס</t>
        </is>
      </c>
      <c r="B16" s="34" t="inlineStr">
        <is>
          <t>דיוק (Precision) - טכניקה נכונה מודגשת</t>
        </is>
      </c>
      <c r="C16" s="35" t="n"/>
      <c r="D16" s="34" t="n"/>
    </row>
    <row r="17" ht="13.5" customHeight="1" s="25">
      <c r="A17" s="34" t="inlineStr">
        <is>
          <t>עקרונות פילאטיס</t>
        </is>
      </c>
      <c r="B17" s="34" t="inlineStr">
        <is>
          <t>זרימה (Flow) - מעברים חלקים בין תנועות</t>
        </is>
      </c>
      <c r="C17" s="35" t="n"/>
      <c r="D17" s="34" t="n"/>
    </row>
    <row r="18" ht="13.5" customHeight="1" s="25">
      <c r="A18" s="34" t="inlineStr">
        <is>
          <t>תנאי פסילה</t>
        </is>
      </c>
      <c r="B18" s="34" t="inlineStr">
        <is>
          <t>קישור שבור או לא זמין</t>
        </is>
      </c>
      <c r="C18" s="35" t="n"/>
      <c r="D18" s="34" t="inlineStr">
        <is>
          <t>למחוק אם מתקיים</t>
        </is>
      </c>
    </row>
    <row r="19" ht="13.5" customHeight="1" s="25">
      <c r="A19" s="34" t="inlineStr">
        <is>
          <t>תנאי פסילה</t>
        </is>
      </c>
      <c r="B19" s="34" t="inlineStr">
        <is>
          <t>תוכן שאינו חופשי או דורש הרשמה</t>
        </is>
      </c>
      <c r="C19" s="35" t="n"/>
      <c r="D19" s="34" t="inlineStr">
        <is>
          <t>למחוק אם מתקיים</t>
        </is>
      </c>
    </row>
    <row r="20" ht="13.5" customHeight="1" s="25">
      <c r="A20" s="34" t="inlineStr">
        <is>
          <t>תנאי פסילה</t>
        </is>
      </c>
      <c r="B20" s="34" t="inlineStr">
        <is>
          <t>הבטחות רפואיות חריגות</t>
        </is>
      </c>
      <c r="C20" s="35" t="n"/>
      <c r="D20" s="34" t="inlineStr">
        <is>
          <t>למחוק אם מתקיים</t>
        </is>
      </c>
    </row>
    <row r="21" ht="13.5" customHeight="1" s="25">
      <c r="A21" s="34" t="inlineStr">
        <is>
          <t>תנאי פסילה</t>
        </is>
      </c>
      <c r="B21" s="34" t="inlineStr">
        <is>
          <t>הדגמה שאינה מאפשרת לראות את הגוף</t>
        </is>
      </c>
      <c r="C21" s="35" t="n"/>
      <c r="D21" s="34" t="inlineStr">
        <is>
          <t>למחוק אם מתקיים</t>
        </is>
      </c>
    </row>
    <row r="22" ht="13.5" customHeight="1" s="25">
      <c r="A22" s="34" t="inlineStr">
        <is>
          <t>תנאי פסילה</t>
        </is>
      </c>
      <c r="B22" s="34" t="inlineStr">
        <is>
          <t>טכניקה שנראית בלתי בטיחותית</t>
        </is>
      </c>
      <c r="C22" s="35" t="n"/>
      <c r="D22" s="34" t="inlineStr">
        <is>
          <t>למחוק אם מתקיים</t>
        </is>
      </c>
    </row>
  </sheetData>
  <conditionalFormatting sqref="C2:C22">
    <cfRule type="cellIs" rank="0" priority="2" equalAverage="0" operator="equal" aboveAverage="0" dxfId="2" text="" percent="0" bottom="0">
      <formula>"כן"</formula>
    </cfRule>
    <cfRule type="cellIs" rank="0" priority="3" equalAverage="0" operator="equal" aboveAverage="0" dxfId="0" text="" percent="0" bottom="0">
      <formula>"לא"</formula>
    </cfRule>
  </conditionalFormatting>
  <dataValidations count="1">
    <dataValidation sqref="C2:C22" showDropDown="0" showInputMessage="0" showErrorMessage="0" allowBlank="1" type="list" errorStyle="stop" operator="between">
      <formula1>"כן,לא"</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5818E"/>
    <outlinePr summaryBelow="1" summaryRight="1"/>
    <pageSetUpPr fitToPage="0"/>
  </sheetPr>
  <dimension ref="A1:K20"/>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6" customWidth="1" style="24" min="1" max="1"/>
    <col width="24" customWidth="1" style="24" min="2" max="2"/>
    <col width="30" customWidth="1" style="24" min="3" max="3"/>
    <col width="14" customWidth="1" style="24" min="4" max="4"/>
    <col width="28" customWidth="1" style="24" min="5" max="5"/>
    <col width="24" customWidth="1" style="24" min="6" max="6"/>
    <col width="30" customWidth="1" style="24" min="7" max="7"/>
    <col width="14" customWidth="1" style="24" min="8" max="8"/>
    <col width="40" customWidth="1" style="24" min="9" max="9"/>
  </cols>
  <sheetData>
    <row r="1" ht="13.5" customHeight="1" s="25">
      <c r="A1" s="32" t="inlineStr">
        <is>
          <t>מזהה</t>
        </is>
      </c>
      <c r="B1" s="32" t="inlineStr">
        <is>
          <t>ערוץ</t>
        </is>
      </c>
      <c r="C1" s="32" t="inlineStr">
        <is>
          <t>היפרלינק</t>
        </is>
      </c>
      <c r="D1" s="32" t="inlineStr">
        <is>
          <t>סטטוס</t>
        </is>
      </c>
      <c r="E1" s="32" t="inlineStr">
        <is>
          <t>התמחות עיקרית</t>
        </is>
      </c>
      <c r="F1" s="32" t="inlineStr">
        <is>
          <t>הסמכה</t>
        </is>
      </c>
      <c r="G1" s="32" t="inlineStr">
        <is>
          <t>קישור לאימות</t>
        </is>
      </c>
      <c r="H1" s="32" t="inlineStr">
        <is>
          <t>תאריך בדיקה</t>
        </is>
      </c>
      <c r="I1" s="32" t="inlineStr">
        <is>
          <t>הערות</t>
        </is>
      </c>
      <c r="J1" s="38" t="n"/>
      <c r="K1" s="38" t="n"/>
    </row>
    <row r="2" ht="26.25" customHeight="1" s="25">
      <c r="A2" s="33" t="n">
        <v>1</v>
      </c>
      <c r="B2" s="34" t="inlineStr">
        <is>
          <t>Blogilates (Cassey Ho)</t>
        </is>
      </c>
      <c r="C2" s="39" t="inlineStr">
        <is>
          <t>https://www.youtube.com/@blogilates</t>
        </is>
      </c>
      <c r="D2" s="33" t="inlineStr">
        <is>
          <t>מאושר</t>
        </is>
      </c>
      <c r="E2" s="34" t="inlineStr">
        <is>
          <t>תרגילים ממוקדי שרירים, אתגרים, כל הרמות</t>
        </is>
      </c>
      <c r="F2" s="34" t="inlineStr">
        <is>
          <t>ACE/NESTA/Balanced Body</t>
        </is>
      </c>
      <c r="G2" s="39" t="inlineStr">
        <is>
          <t>https://www.blogilates.com/about-cassey/</t>
        </is>
      </c>
      <c r="H2" s="35" t="n"/>
      <c r="I2" s="34" t="inlineStr">
        <is>
          <t>ערוץ יוטיוב חופשי ופעיל, ספרייה ענקית</t>
        </is>
      </c>
    </row>
    <row r="3" ht="26.25" customHeight="1" s="25">
      <c r="A3" s="33" t="n">
        <v>2</v>
      </c>
      <c r="B3" s="34" t="inlineStr">
        <is>
          <t>Jessica Valant Pilates</t>
        </is>
      </c>
      <c r="C3" s="39" t="inlineStr">
        <is>
          <t>https://www.youtube.com/@JessicaValantPilates</t>
        </is>
      </c>
      <c r="D3" s="33" t="inlineStr">
        <is>
          <t>מאושר</t>
        </is>
      </c>
      <c r="E3" s="34" t="inlineStr">
        <is>
          <t>טכניקה ובטיחות, שיקום</t>
        </is>
      </c>
      <c r="F3" s="34" t="inlineStr">
        <is>
          <t>פיזיותרפיסטית מוסמכת, 16+ שנה</t>
        </is>
      </c>
      <c r="G3" s="33" t="n"/>
      <c r="H3" s="35" t="n"/>
      <c r="I3" s="34" t="inlineStr">
        <is>
          <t>דגש בטיחותי חזק - מתאים לקהל מבוגרים/שיקום</t>
        </is>
      </c>
    </row>
    <row r="4" ht="13.5" customHeight="1" s="25">
      <c r="A4" s="33" t="n">
        <v>3</v>
      </c>
      <c r="B4" s="34" t="inlineStr">
        <is>
          <t>Lottie Murphy</t>
        </is>
      </c>
      <c r="C4" s="39" t="inlineStr">
        <is>
          <t>https://www.youtube.com/@LottieMurphyPilates</t>
        </is>
      </c>
      <c r="D4" s="33" t="inlineStr">
        <is>
          <t>מאושר</t>
        </is>
      </c>
      <c r="E4" s="34" t="inlineStr">
        <is>
          <t>משקל גוף + גומיות התנגדות</t>
        </is>
      </c>
      <c r="F4" s="34" t="inlineStr">
        <is>
          <t>מדריכת פילאטיס מוסמכת</t>
        </is>
      </c>
      <c r="G4" s="33" t="n"/>
      <c r="H4" s="35" t="n"/>
      <c r="I4" s="34" t="inlineStr">
        <is>
          <t>ערוץ יוטיוב חופשי ופעיל; סרטוני גומיית התנגדות</t>
        </is>
      </c>
    </row>
    <row r="5" ht="13.5" customHeight="1" s="25">
      <c r="A5" s="33" t="n">
        <v>4</v>
      </c>
      <c r="B5" s="34" t="inlineStr">
        <is>
          <t>Pilates Anytime</t>
        </is>
      </c>
      <c r="C5" s="39" t="inlineStr">
        <is>
          <t>https://www.pilatesanytime.com/</t>
        </is>
      </c>
      <c r="D5" s="33" t="inlineStr">
        <is>
          <t>לא מומלץ</t>
        </is>
      </c>
      <c r="E5" s="34" t="inlineStr">
        <is>
          <t>ספריית שיעורים מקיפה, כל הרמות</t>
        </is>
      </c>
      <c r="F5" s="34" t="inlineStr">
        <is>
          <t>מדריכים מוסמכים</t>
        </is>
      </c>
      <c r="G5" s="33" t="n"/>
      <c r="H5" s="35" t="n"/>
      <c r="I5" s="34" t="inlineStr">
        <is>
          <t>פלטפורמת מנוי בתשלום - אינו תוכן חופשי</t>
        </is>
      </c>
    </row>
    <row r="6" ht="13.5" customHeight="1" s="25">
      <c r="A6" s="33" t="n">
        <v>5</v>
      </c>
      <c r="B6" s="34" t="inlineStr">
        <is>
          <t>Flow with Mira</t>
        </is>
      </c>
      <c r="C6" s="39" t="inlineStr">
        <is>
          <t>https://www.youtube.com/@FlowwithMira</t>
        </is>
      </c>
      <c r="D6" s="33" t="inlineStr">
        <is>
          <t>לבדוק ידנית</t>
        </is>
      </c>
      <c r="E6" s="34" t="inlineStr">
        <is>
          <t>פלייליסטים לפי רמה</t>
        </is>
      </c>
      <c r="F6" s="34" t="inlineStr">
        <is>
          <t>מוזכרת כ-BASI (לא מאומת)</t>
        </is>
      </c>
      <c r="G6" s="33" t="n"/>
      <c r="H6" s="35" t="n"/>
      <c r="I6" s="34" t="inlineStr">
        <is>
          <t>יש לבדוק הסמכה ועקביות ערוץ</t>
        </is>
      </c>
    </row>
    <row r="7" ht="13.5" customHeight="1" s="25">
      <c r="A7" s="33" t="n">
        <v>6</v>
      </c>
      <c r="B7" s="34" t="inlineStr">
        <is>
          <t>Trifecta Pilates</t>
        </is>
      </c>
      <c r="C7" s="39" t="inlineStr">
        <is>
          <t>https://www.youtube.com/@TrifectaPilates</t>
        </is>
      </c>
      <c r="D7" s="33" t="inlineStr">
        <is>
          <t>לבדוק ידנית</t>
        </is>
      </c>
      <c r="E7" s="34" t="inlineStr">
        <is>
          <t>מתחילים, חזרה אחרי פציעה</t>
        </is>
      </c>
      <c r="F7" s="34" t="inlineStr">
        <is>
          <t>לא מאומת</t>
        </is>
      </c>
      <c r="G7" s="33" t="n"/>
      <c r="H7" s="35" t="n"/>
      <c r="I7" s="34" t="inlineStr">
        <is>
          <t>ייתכן ערוץ קטן/חדש - יש לבדוק</t>
        </is>
      </c>
    </row>
    <row r="8" ht="26.25" customHeight="1" s="25">
      <c r="A8" s="33" t="n">
        <v>7</v>
      </c>
      <c r="B8" s="34" t="inlineStr">
        <is>
          <t>Kim Saha</t>
        </is>
      </c>
      <c r="C8" s="39" t="inlineStr">
        <is>
          <t>https://www.youtube.com/@KimSaha</t>
        </is>
      </c>
      <c r="D8" s="33" t="inlineStr">
        <is>
          <t>לבדוק ידנית</t>
        </is>
      </c>
      <c r="E8" s="34" t="inlineStr">
        <is>
          <t>פיזיותרפיה, שיקום, פילאטיס/HIIT</t>
        </is>
      </c>
      <c r="F8" s="34" t="inlineStr">
        <is>
          <t>פיזיותרפיסטית ומדריכת פילאטיס</t>
        </is>
      </c>
      <c r="G8" s="33" t="n"/>
      <c r="H8" s="35" t="n"/>
      <c r="I8" s="34" t="inlineStr">
        <is>
          <t>טרם אומתה לעומק, מומלץ להוסיף</t>
        </is>
      </c>
    </row>
    <row r="9" ht="26.25" customHeight="1" s="25">
      <c r="A9" s="33" t="n">
        <v>8</v>
      </c>
      <c r="B9" s="34" t="inlineStr">
        <is>
          <t>Beth Sandlin</t>
        </is>
      </c>
      <c r="C9" s="39" t="inlineStr">
        <is>
          <t>https://www.youtube.com/@BethSandlin</t>
        </is>
      </c>
      <c r="D9" s="33" t="inlineStr">
        <is>
          <t>לבדוק ידנית</t>
        </is>
      </c>
      <c r="E9" s="34" t="inlineStr">
        <is>
          <t>אימוני גומיות התנגדות בסגנון פילאטיס</t>
        </is>
      </c>
      <c r="F9" s="34" t="inlineStr">
        <is>
          <t>מדריכת כושר ופילאטיס מוסמכת</t>
        </is>
      </c>
      <c r="G9" s="33" t="n"/>
      <c r="H9" s="35" t="n"/>
      <c r="I9" s="34" t="inlineStr">
        <is>
          <t>תוכן ממוקד גומיות - רלוונטי מאוד</t>
        </is>
      </c>
    </row>
    <row r="10" ht="51.75" customHeight="1" s="25">
      <c r="A10" s="33" t="n">
        <v>9</v>
      </c>
      <c r="B10" s="34" t="inlineStr">
        <is>
          <t>ד"ר אלכסייב</t>
        </is>
      </c>
      <c r="C10" s="39" t="inlineStr">
        <is>
          <t>https://www.youtube.com/@DoctorAlekseev_he</t>
        </is>
      </c>
      <c r="D10" s="33" t="inlineStr">
        <is>
          <t>לבדוק ידנית</t>
        </is>
      </c>
      <c r="E10" s="34" t="n"/>
      <c r="F10" s="34" t="n"/>
      <c r="G10" s="33" t="n"/>
      <c r="H10" s="35" t="n"/>
      <c r="I10" s="34" t="inlineStr">
        <is>
          <t>לא אותר אימות עצמאי בחיפוש (שם/ערוץ) - לא ניתן לאשר הסמכה או תחום התמחות. יש לבדוק ידנית שהערוץ אכן עוסק בפילאטיס/תרגילי בית לפני שקילת אישור.</t>
        </is>
      </c>
    </row>
    <row r="11" ht="57.45" customHeight="1" s="25">
      <c r="A11" s="40" t="n">
        <v>10</v>
      </c>
      <c r="B11" s="42" t="inlineStr">
        <is>
          <t>יעל ישראל (Yael Israel)</t>
        </is>
      </c>
      <c r="C11" s="43" t="inlineStr">
        <is>
          <t>https://www.youtube.com/@Yael.israel</t>
        </is>
      </c>
      <c r="D11" s="40" t="inlineStr">
        <is>
          <t>לבדוק ידנית</t>
        </is>
      </c>
      <c r="E11" s="42" t="inlineStr">
        <is>
          <t>פילאטיס מזרן בעברית - מתחילים עד מתקדם, כולל תוכן עם גומיות</t>
        </is>
      </c>
      <c r="F11" s="42" t="inlineStr">
        <is>
          <t>בעלים של 3 סטודיו (ראשל"צ, נס ציונה), 14+ שנות ניסיון, מכשירה מדריכות פילאטיס</t>
        </is>
      </c>
      <c r="G11" s="43" t="inlineStr">
        <is>
          <t>https://www.themarker.com/labels/2022-08-31/ty-article-labels/00000182-f3ab-dd7e-a5f7-fbebd5800000</t>
        </is>
      </c>
      <c r="H11" s="40" t="n"/>
      <c r="I11" s="42" t="inlineStr">
        <is>
          <t>כתבת TheMarker מאשרת: "ערוץ היוטיוב החינמי פתוח לצפייה... ללא דמי הרשמה או דמי ביטול". יש לה גם פלטפורמת VOD בתשלום (Sensa) - נפרדת מהערוץ החינמי ביוטיוב. אותרו 5 סרטונים ספציפיים ונוספו למאגר המועמדים.</t>
        </is>
      </c>
    </row>
    <row r="12" ht="46.25" customHeight="1" s="25">
      <c r="A12" s="40" t="n">
        <v>11</v>
      </c>
      <c r="B12" s="42" t="inlineStr">
        <is>
          <t>ורה זליבנסקי (Vera Zelivanski)</t>
        </is>
      </c>
      <c r="C12" s="40" t="n"/>
      <c r="D12" s="40" t="inlineStr">
        <is>
          <t>לבדוק ידנית</t>
        </is>
      </c>
      <c r="E12" s="42" t="inlineStr">
        <is>
          <t>פילאטיס שיקומי ואימון פונקציונלי, התמחות בליווי נשים אחרי לידה</t>
        </is>
      </c>
      <c r="F12" s="42" t="inlineStr">
        <is>
          <t>מדריכת פילאטיס שיקומי, מאמנת תזונה, סטודנטית לפסיכולוגיה</t>
        </is>
      </c>
      <c r="G12" s="40" t="n"/>
      <c r="H12" s="40" t="n"/>
      <c r="I12" s="42" t="inlineStr">
        <is>
          <t>יש לה ערוץ יוטיוב עצמאי (מאושר בתיאור סרטון שיתוף פעולה), אך לא הצלחתי לאמת את היקף הערוץ, תדירות העלאות, או קישור ישיר לערוץ עצמו. אותר סרטון שיתוף-פעולה אחד בלבד. מומלץ אימות ידני מקיף יותר.</t>
        </is>
      </c>
    </row>
    <row r="13">
      <c r="A13" s="24" t="n">
        <v>12</v>
      </c>
      <c r="B13" s="24" t="inlineStr">
        <is>
          <t>MyBOD Wellness</t>
        </is>
      </c>
      <c r="C13" s="24" t="inlineStr">
        <is>
          <t>https://www.youtube.com/@Mybodwellness</t>
        </is>
      </c>
      <c r="D13" s="24" t="inlineStr">
        <is>
          <t>לבדוק ידנית</t>
        </is>
      </c>
      <c r="E13" s="24" t="inlineStr">
        <is>
          <t>תרגילי רינג פילאטיס (Magic Circle)</t>
        </is>
      </c>
      <c r="F13" s="24" t="inlineStr">
        <is>
          <t>לא מאומת</t>
        </is>
      </c>
      <c r="G13" s="24" t="inlineStr"/>
      <c r="H13" s="24" t="inlineStr"/>
      <c r="I13" s="24" t="inlineStr">
        <is>
          <t>אותר במסגרת בניית קטלוג האתר (yairron.com/YR1/pilates); ערוץ יוטיוב חופשי. טרם בוצע אימות הסמכה/עקביות מלא.</t>
        </is>
      </c>
    </row>
    <row r="14">
      <c r="A14" s="24" t="n">
        <v>13</v>
      </c>
      <c r="B14" s="24" t="inlineStr">
        <is>
          <t>LiveFitness</t>
        </is>
      </c>
      <c r="C14" s="24" t="inlineStr">
        <is>
          <t>https://www.youtube.com/@LiveFitness</t>
        </is>
      </c>
      <c r="D14" s="24" t="inlineStr">
        <is>
          <t>לבדוק ידנית</t>
        </is>
      </c>
      <c r="E14" s="24" t="inlineStr">
        <is>
          <t>אימוני גומיית התנגדות בסגנון פילאטיס/כושר</t>
        </is>
      </c>
      <c r="F14" s="24" t="inlineStr">
        <is>
          <t>לא מאומת</t>
        </is>
      </c>
      <c r="G14" s="24" t="inlineStr"/>
      <c r="H14" s="24" t="inlineStr"/>
      <c r="I14" s="24" t="inlineStr">
        <is>
          <t>אותר במסגרת בניית קטלוג האתר (yairron.com/YR1/pilates); ערוץ יוטיוב חופשי. טרם בוצע אימות הסמכה/עקביות מלא.</t>
        </is>
      </c>
    </row>
    <row r="15">
      <c r="A15" s="24" t="n">
        <v>14</v>
      </c>
      <c r="B15" s="24" t="inlineStr">
        <is>
          <t>Posture Tonic by Jacinta Brown</t>
        </is>
      </c>
      <c r="C15" s="24" t="inlineStr">
        <is>
          <t>https://www.youtube.com/@PostureTonic</t>
        </is>
      </c>
      <c r="D15" s="24" t="inlineStr">
        <is>
          <t>לבדוק ידנית</t>
        </is>
      </c>
      <c r="E15" s="24" t="inlineStr">
        <is>
          <t>רינג פילאטיס, יציבה</t>
        </is>
      </c>
      <c r="F15" s="24" t="inlineStr">
        <is>
          <t>לא מאומת</t>
        </is>
      </c>
      <c r="G15" s="24" t="inlineStr"/>
      <c r="H15" s="24" t="inlineStr"/>
      <c r="I15" s="24" t="inlineStr">
        <is>
          <t>אותר במסגרת בניית קטלוג האתר (yairron.com/YR1/pilates); ערוץ יוטיוב חופשי. טרם בוצע אימות הסמכה/עקביות מלא.</t>
        </is>
      </c>
    </row>
    <row r="16">
      <c r="A16" s="24" t="n">
        <v>15</v>
      </c>
      <c r="B16" s="24" t="inlineStr">
        <is>
          <t>The Girl With The Pilates Mat</t>
        </is>
      </c>
      <c r="C16" s="24" t="inlineStr">
        <is>
          <t>https://www.youtube.com/@TheGirlWithThePilatesMat</t>
        </is>
      </c>
      <c r="D16" s="24" t="inlineStr">
        <is>
          <t>לבדוק ידנית</t>
        </is>
      </c>
      <c r="E16" s="24" t="inlineStr">
        <is>
          <t>שיעורי פילאטיס מלאים עם גומיית התנגדות, כל הרמות</t>
        </is>
      </c>
      <c r="F16" s="24" t="inlineStr">
        <is>
          <t>לא מאומת</t>
        </is>
      </c>
      <c r="G16" s="24" t="inlineStr"/>
      <c r="H16" s="24" t="inlineStr"/>
      <c r="I16" s="24" t="inlineStr">
        <is>
          <t>אותר במסגרת בניית קטלוג האתר (yairron.com/YR1/pilates); ערוץ יוטיוב חופשי ופעיל, כמה סרטונים נבחרו. טרם בוצע אימות הסמכה מלא.</t>
        </is>
      </c>
    </row>
    <row r="17">
      <c r="A17" s="24" t="n">
        <v>16</v>
      </c>
      <c r="B17" s="24" t="inlineStr">
        <is>
          <t>Keel Pilates</t>
        </is>
      </c>
      <c r="C17" s="24" t="inlineStr">
        <is>
          <t>https://www.youtube.com/@keelpilates</t>
        </is>
      </c>
      <c r="D17" s="24" t="inlineStr">
        <is>
          <t>לבדוק ידנית</t>
        </is>
      </c>
      <c r="E17" s="24" t="inlineStr">
        <is>
          <t>שיעורי פילאטיס עם כדור/משקולות קרסול/גומייה</t>
        </is>
      </c>
      <c r="F17" s="24" t="inlineStr">
        <is>
          <t>לא מאומת</t>
        </is>
      </c>
      <c r="G17" s="24" t="inlineStr"/>
      <c r="H17" s="24" t="inlineStr"/>
      <c r="I17" s="24" t="inlineStr">
        <is>
          <t>אותר במסגרת בניית קטלוג האתר (yairron.com/YR1/pilates); ערוץ יוטיוב חופשי. טרם בוצע אימות הסמכה/עקביות מלא.</t>
        </is>
      </c>
    </row>
    <row r="18">
      <c r="A18" s="24" t="n">
        <v>17</v>
      </c>
      <c r="B18" s="24" t="inlineStr">
        <is>
          <t>פילאטיס עם עמית (Pilates with Amit)</t>
        </is>
      </c>
      <c r="C18" s="24" t="inlineStr">
        <is>
          <t>https://www.youtube.com/@PilateswithAmit</t>
        </is>
      </c>
      <c r="D18" s="24" t="inlineStr">
        <is>
          <t>לבדוק ידנית</t>
        </is>
      </c>
      <c r="E18" s="24" t="inlineStr">
        <is>
          <t>פילאטיס מזרן לכל הגוף, תרגולי בוקר, פילאטיס עם קיר, תרגולים עם אביזרים</t>
        </is>
      </c>
      <c r="F18" s="24" t="inlineStr">
        <is>
          <t>לא מאומת</t>
        </is>
      </c>
      <c r="G18" s="24" t="inlineStr"/>
      <c r="H18" s="24" t="inlineStr"/>
      <c r="I18" s="24" t="inlineStr">
        <is>
          <t>אומת מול YouTube בפועל (29.08.2026): 3.11K מנויים, 107 סרטונים, פעילה מ-03/2020, 245K+ צפיות. 5 הסרטונים האחרונים כולם תרגולי פילאטיס אמיתיים ומגוונים (גוף מלא, בוקר, קיר, זרימה) - תוכן חופשי, ללא סימני שיווק/הפניה לקורס בתשלום. אין אזכור הכשרה/הסמכה מקצועית בתיאור הערוץ - יש לאמת ידנית.</t>
        </is>
      </c>
    </row>
    <row r="19">
      <c r="A19" s="24" t="n">
        <v>18</v>
      </c>
      <c r="B19" s="24" t="inlineStr">
        <is>
          <t>Vilates</t>
        </is>
      </c>
      <c r="C19" s="24" t="inlineStr">
        <is>
          <t>https://www.youtube.com/@vilates4909</t>
        </is>
      </c>
      <c r="D19" s="24" t="inlineStr">
        <is>
          <t>לא מומלץ</t>
        </is>
      </c>
      <c r="E19" s="24" t="inlineStr">
        <is>
          <t>פילאטיס מזרן, תרגילי בטן/רצפת אגן (בעבר) - כרגע בעיקר תוכן שיווקי</t>
        </is>
      </c>
      <c r="F19" s="24" t="inlineStr">
        <is>
          <t>לא מאומת</t>
        </is>
      </c>
      <c r="G19" s="24" t="inlineStr"/>
      <c r="H19" s="24" t="inlineStr"/>
      <c r="I19" s="24" t="inlineStr">
        <is>
          <t>אומת מול YouTube בפועל (29.08.2026): 8.2K מנויים, 58 סרטונים, פעיל מ-2017, 849K+ צפיות. דגל אדום: 5 הסרטונים האחרונים הם ברובם טיזרים/פרסומות לקורס בתשלום חיצוני ('פילאטיס לגוף חדש ב-30 יום', lp.vp4.me) ולא סרטוני תרגול חופשיים - הערוץ פנה לכיוון שיווקי. אין אזכור הכשרה/הסמכה בתיאור הערוץ. זהו גם הערוץ שזוהה בטעות כ'יעל ישראל' במועמד שכבר הוסר (ראו מאגר מועמדים, מועמד שנמחק #11 המקורי). אם נבחר סרטון ספציפי מהערוץ - לוודא שהוא תוכן תרגול אמיתי ולא טיזר לקורס.</t>
        </is>
      </c>
    </row>
    <row r="20">
      <c r="A20" s="24" t="n">
        <v>19</v>
      </c>
      <c r="B20" s="24" t="inlineStr">
        <is>
          <t>PILATES BY IZZY</t>
        </is>
      </c>
      <c r="C20" s="24" t="inlineStr">
        <is>
          <t>https://www.youtube.com/@izzy.samuel</t>
        </is>
      </c>
      <c r="D20" s="24" t="inlineStr">
        <is>
          <t>לבדוק ידנית</t>
        </is>
      </c>
      <c r="E20" s="24" t="inlineStr">
        <is>
          <t>פילאטיס מבוסס-חיזוק, אתגרי 25 יום</t>
        </is>
      </c>
      <c r="F20" s="24" t="inlineStr">
        <is>
          <t>מדריכת פילאטיס מזרן מוסמכת (אוסטרליה)</t>
        </is>
      </c>
      <c r="G20" s="24" t="inlineStr"/>
      <c r="H20" s="24" t="inlineStr"/>
      <c r="I20" s="24" t="inlineStr">
        <is>
          <t>אומת מול YouTube בפועל (29.08.2026): ערוץ חדש יחסית (מ-02/2024) אך צמיחה חריגה - 500K+ מנויים בזכות אתגר 25 הימים הוויראלי. הכשרה כמדריכת פילאטיס מזרן מוסמכת מאומתת ממקורות חיצוניים (vidIQ, Marie Claire). טרם אומת ישירות מול אתר/ביו הערוץ עצמו.</t>
        </is>
      </c>
    </row>
  </sheetData>
  <conditionalFormatting sqref="D2:D10">
    <cfRule type="cellIs" rank="0" priority="2" equalAverage="0" operator="equal" aboveAverage="0" dxfId="2" text="" percent="0" bottom="0">
      <formula>"מאושר"</formula>
    </cfRule>
    <cfRule type="cellIs" rank="0" priority="3" equalAverage="0" operator="equal" aboveAverage="0" dxfId="1" text="" percent="0" bottom="0">
      <formula>"לבדוק ידנית"</formula>
    </cfRule>
    <cfRule type="cellIs" rank="0" priority="4" equalAverage="0" operator="equal" aboveAverage="0" dxfId="0" text="" percent="0" bottom="0">
      <formula>"לא מומלץ"</formula>
    </cfRule>
  </conditionalFormatting>
  <conditionalFormatting sqref="D2:D12">
    <cfRule type="cellIs" rank="0" priority="5" equalAverage="0" operator="equal" aboveAverage="0" dxfId="2" text="" percent="0" bottom="0">
      <formula>"מאושר"</formula>
    </cfRule>
    <cfRule type="cellIs" rank="0" priority="6" equalAverage="0" operator="equal" aboveAverage="0" dxfId="1" text="" percent="0" bottom="0">
      <formula>"לבדוק ידנית"</formula>
    </cfRule>
  </conditionalFormatting>
  <dataValidations count="1">
    <dataValidation sqref="D2:D200" showDropDown="0" showInputMessage="0" showErrorMessage="0" allowBlank="1" type="list" errorStyle="stop" operator="between">
      <formula1>"מאושר,לבדוק ידנית,לא מומלץ"</formula1>
      <formula2>0</formula2>
    </dataValidation>
  </dataValidations>
  <hyperlinks>
    <hyperlink xmlns:r="http://schemas.openxmlformats.org/officeDocument/2006/relationships" ref="C2" display="https://www.youtube.com/@blogilates" r:id="rId1"/>
    <hyperlink xmlns:r="http://schemas.openxmlformats.org/officeDocument/2006/relationships" ref="G2" display="https://www.blogilates.com/about-cassey/" r:id="rId2"/>
    <hyperlink xmlns:r="http://schemas.openxmlformats.org/officeDocument/2006/relationships" ref="C3" display="https://www.youtube.com/@JessicaValantPilates" r:id="rId3"/>
    <hyperlink xmlns:r="http://schemas.openxmlformats.org/officeDocument/2006/relationships" ref="C4" display="https://www.youtube.com/@LottieMurphyPilates" r:id="rId4"/>
    <hyperlink xmlns:r="http://schemas.openxmlformats.org/officeDocument/2006/relationships" ref="C5" display="https://www.pilatesanytime.com/" r:id="rId5"/>
    <hyperlink xmlns:r="http://schemas.openxmlformats.org/officeDocument/2006/relationships" ref="C6" display="https://www.youtube.com/@FlowwithMira" r:id="rId6"/>
    <hyperlink xmlns:r="http://schemas.openxmlformats.org/officeDocument/2006/relationships" ref="C7" display="https://www.youtube.com/@TrifectaPilates" r:id="rId7"/>
    <hyperlink xmlns:r="http://schemas.openxmlformats.org/officeDocument/2006/relationships" ref="C8" display="https://www.youtube.com/@KimSaha" r:id="rId8"/>
    <hyperlink xmlns:r="http://schemas.openxmlformats.org/officeDocument/2006/relationships" ref="C9" display="https://www.youtube.com/@BethSandlin" r:id="rId9"/>
    <hyperlink xmlns:r="http://schemas.openxmlformats.org/officeDocument/2006/relationships" ref="C10" display="https://www.youtube.com/@DoctorAlekseev_he" r:id="rId10"/>
    <hyperlink xmlns:r="http://schemas.openxmlformats.org/officeDocument/2006/relationships" ref="C11" display="https://www.youtube.com/@Yael.israel" r:id="rId11"/>
    <hyperlink xmlns:r="http://schemas.openxmlformats.org/officeDocument/2006/relationships" ref="G11" display="https://www.themarker.com/labels/2022-08-31/ty-article-labels/00000182-f3ab-dd7e-a5f7-fbebd5800000"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90000"/>
    <outlinePr summaryBelow="1" summaryRight="1"/>
    <pageSetUpPr fitToPage="0"/>
  </sheetPr>
  <dimension ref="A1:K26"/>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12" customWidth="1" style="24" min="1" max="1"/>
    <col width="26" customWidth="1" style="24" min="2" max="2"/>
    <col width="34" customWidth="1" style="24" min="3" max="3"/>
    <col width="16" customWidth="1" style="24" min="4" max="4"/>
    <col width="10" customWidth="1" style="24" min="5" max="5"/>
    <col width="26" customWidth="1" style="24" min="6" max="6"/>
    <col width="16" customWidth="1" style="24" min="7" max="7"/>
  </cols>
  <sheetData>
    <row r="1" ht="26.25" customHeight="1" s="25">
      <c r="A1" s="32" t="inlineStr">
        <is>
          <t>מזהה סרטון</t>
        </is>
      </c>
      <c r="B1" s="32" t="inlineStr">
        <is>
          <t>שם הסרטון</t>
        </is>
      </c>
      <c r="C1" s="32" t="inlineStr">
        <is>
          <t>קישור URL</t>
        </is>
      </c>
      <c r="D1" s="32" t="inlineStr">
        <is>
          <t>תאריך בדיקה אחרון</t>
        </is>
      </c>
      <c r="E1" s="32" t="inlineStr">
        <is>
          <t>סטטוס קישור</t>
        </is>
      </c>
      <c r="F1" s="32" t="inlineStr">
        <is>
          <t>הערות שינוי</t>
        </is>
      </c>
      <c r="G1" s="32" t="inlineStr">
        <is>
          <t>תאריך בדיקה הבאה</t>
        </is>
      </c>
      <c r="H1" s="38" t="n"/>
      <c r="I1" s="38" t="n"/>
      <c r="J1" s="38" t="n"/>
      <c r="K1" s="38" t="n"/>
    </row>
    <row r="2" ht="13.5" customHeight="1" s="25">
      <c r="A2" s="33" t="n"/>
      <c r="B2" s="34" t="n"/>
      <c r="C2" s="33" t="n"/>
      <c r="D2" s="35" t="n"/>
      <c r="E2" s="35" t="n"/>
      <c r="F2" s="36" t="n"/>
      <c r="G2" s="35" t="n"/>
    </row>
    <row r="3" ht="13.5" customHeight="1" s="25">
      <c r="A3" s="33" t="n"/>
      <c r="B3" s="34" t="n"/>
      <c r="C3" s="33" t="n"/>
      <c r="D3" s="35" t="n"/>
      <c r="E3" s="35" t="n"/>
      <c r="F3" s="36" t="n"/>
      <c r="G3" s="35" t="n"/>
    </row>
    <row r="4" ht="13.5" customHeight="1" s="25">
      <c r="A4" s="33" t="n"/>
      <c r="B4" s="34" t="n"/>
      <c r="C4" s="33" t="n"/>
      <c r="D4" s="35" t="n"/>
      <c r="E4" s="35" t="n"/>
      <c r="F4" s="36" t="n"/>
      <c r="G4" s="35" t="n"/>
    </row>
    <row r="5" ht="13.5" customHeight="1" s="25">
      <c r="A5" s="33" t="n"/>
      <c r="B5" s="34" t="n"/>
      <c r="C5" s="33" t="n"/>
      <c r="D5" s="35" t="n"/>
      <c r="E5" s="35" t="n"/>
      <c r="F5" s="36" t="n"/>
      <c r="G5" s="35" t="n"/>
    </row>
    <row r="6" ht="13.5" customHeight="1" s="25">
      <c r="A6" s="33" t="n"/>
      <c r="B6" s="34" t="n"/>
      <c r="C6" s="33" t="n"/>
      <c r="D6" s="35" t="n"/>
      <c r="E6" s="35" t="n"/>
      <c r="F6" s="36" t="n"/>
      <c r="G6" s="35" t="n"/>
    </row>
    <row r="7" ht="13.5" customHeight="1" s="25">
      <c r="A7" s="33" t="n"/>
      <c r="B7" s="34" t="n"/>
      <c r="C7" s="33" t="n"/>
      <c r="D7" s="35" t="n"/>
      <c r="E7" s="35" t="n"/>
      <c r="F7" s="36" t="n"/>
      <c r="G7" s="35" t="n"/>
    </row>
    <row r="8" ht="13.5" customHeight="1" s="25">
      <c r="A8" s="33" t="n"/>
      <c r="B8" s="34" t="n"/>
      <c r="C8" s="33" t="n"/>
      <c r="D8" s="35" t="n"/>
      <c r="E8" s="35" t="n"/>
      <c r="F8" s="36" t="n"/>
      <c r="G8" s="35" t="n"/>
    </row>
    <row r="9" ht="13.5" customHeight="1" s="25">
      <c r="A9" s="33" t="n"/>
      <c r="B9" s="34" t="n"/>
      <c r="C9" s="33" t="n"/>
      <c r="D9" s="35" t="n"/>
      <c r="E9" s="35" t="n"/>
      <c r="F9" s="36" t="n"/>
      <c r="G9" s="35" t="n"/>
    </row>
    <row r="10" ht="13.5" customHeight="1" s="25">
      <c r="A10" s="33" t="n"/>
      <c r="B10" s="34" t="n"/>
      <c r="C10" s="33" t="n"/>
      <c r="D10" s="35" t="n"/>
      <c r="E10" s="35" t="n"/>
      <c r="F10" s="36" t="n"/>
      <c r="G10" s="35" t="n"/>
    </row>
    <row r="11" ht="13.5" customHeight="1" s="25">
      <c r="A11" s="33" t="n"/>
      <c r="B11" s="34" t="n"/>
      <c r="C11" s="33" t="n"/>
      <c r="D11" s="35" t="n"/>
      <c r="E11" s="35" t="n"/>
      <c r="F11" s="36" t="n"/>
      <c r="G11" s="35" t="n"/>
    </row>
    <row r="12" ht="13.5" customHeight="1" s="25">
      <c r="A12" s="33" t="n"/>
      <c r="B12" s="34" t="n"/>
      <c r="C12" s="33" t="n"/>
      <c r="D12" s="35" t="n"/>
      <c r="E12" s="35" t="n"/>
      <c r="F12" s="36" t="n"/>
      <c r="G12" s="35" t="n"/>
    </row>
    <row r="13" ht="13.5" customHeight="1" s="25">
      <c r="A13" s="33" t="n"/>
      <c r="B13" s="34" t="n"/>
      <c r="C13" s="33" t="n"/>
      <c r="D13" s="35" t="n"/>
      <c r="E13" s="35" t="n"/>
      <c r="F13" s="36" t="n"/>
      <c r="G13" s="35" t="n"/>
    </row>
    <row r="14" ht="13.5" customHeight="1" s="25">
      <c r="A14" s="33" t="n"/>
      <c r="B14" s="34" t="n"/>
      <c r="C14" s="33" t="n"/>
      <c r="D14" s="35" t="n"/>
      <c r="E14" s="35" t="n"/>
      <c r="F14" s="36" t="n"/>
      <c r="G14" s="35" t="n"/>
    </row>
    <row r="15" ht="13.5" customHeight="1" s="25">
      <c r="A15" s="33" t="n"/>
      <c r="B15" s="34" t="n"/>
      <c r="C15" s="33" t="n"/>
      <c r="D15" s="35" t="n"/>
      <c r="E15" s="35" t="n"/>
      <c r="F15" s="36" t="n"/>
      <c r="G15" s="35" t="n"/>
    </row>
    <row r="16" ht="13.5" customHeight="1" s="25">
      <c r="A16" s="33" t="n"/>
      <c r="B16" s="34" t="n"/>
      <c r="C16" s="33" t="n"/>
      <c r="D16" s="35" t="n"/>
      <c r="E16" s="35" t="n"/>
      <c r="F16" s="36" t="n"/>
      <c r="G16" s="35" t="n"/>
    </row>
    <row r="17" ht="13.5" customHeight="1" s="25">
      <c r="A17" s="33" t="n"/>
      <c r="B17" s="34" t="n"/>
      <c r="C17" s="33" t="n"/>
      <c r="D17" s="35" t="n"/>
      <c r="E17" s="35" t="n"/>
      <c r="F17" s="36" t="n"/>
      <c r="G17" s="35" t="n"/>
    </row>
    <row r="18" ht="13.5" customHeight="1" s="25">
      <c r="A18" s="33" t="n"/>
      <c r="B18" s="34" t="n"/>
      <c r="C18" s="33" t="n"/>
      <c r="D18" s="35" t="n"/>
      <c r="E18" s="35" t="n"/>
      <c r="F18" s="36" t="n"/>
      <c r="G18" s="35" t="n"/>
    </row>
    <row r="19" ht="13.5" customHeight="1" s="25">
      <c r="A19" s="33" t="n"/>
      <c r="B19" s="34" t="n"/>
      <c r="C19" s="33" t="n"/>
      <c r="D19" s="35" t="n"/>
      <c r="E19" s="35" t="n"/>
      <c r="F19" s="36" t="n"/>
      <c r="G19" s="35" t="n"/>
    </row>
    <row r="20" ht="13.5" customHeight="1" s="25">
      <c r="A20" s="33" t="n"/>
      <c r="B20" s="34" t="n"/>
      <c r="C20" s="33" t="n"/>
      <c r="D20" s="35" t="n"/>
      <c r="E20" s="35" t="n"/>
      <c r="F20" s="36" t="n"/>
      <c r="G20" s="35" t="n"/>
    </row>
    <row r="21" ht="13.5" customHeight="1" s="25">
      <c r="A21" s="33" t="n"/>
      <c r="B21" s="34" t="n"/>
      <c r="C21" s="33" t="n"/>
      <c r="D21" s="35" t="n"/>
      <c r="E21" s="35" t="n"/>
      <c r="F21" s="36" t="n"/>
      <c r="G21" s="35" t="n"/>
    </row>
    <row r="22" ht="13.5" customHeight="1" s="25">
      <c r="A22" s="33" t="n"/>
      <c r="B22" s="34" t="n"/>
      <c r="C22" s="33" t="n"/>
      <c r="D22" s="35" t="n"/>
      <c r="E22" s="35" t="n"/>
      <c r="F22" s="36" t="n"/>
      <c r="G22" s="35" t="n"/>
    </row>
    <row r="23" ht="13.5" customHeight="1" s="25">
      <c r="A23" s="33" t="n"/>
      <c r="B23" s="34" t="n"/>
      <c r="C23" s="33" t="n"/>
      <c r="D23" s="35" t="n"/>
      <c r="E23" s="35" t="n"/>
      <c r="F23" s="36" t="n"/>
      <c r="G23" s="35" t="n"/>
    </row>
    <row r="24" ht="13.5" customHeight="1" s="25">
      <c r="A24" s="33" t="n"/>
      <c r="B24" s="34" t="n"/>
      <c r="C24" s="33" t="n"/>
      <c r="D24" s="35" t="n"/>
      <c r="E24" s="35" t="n"/>
      <c r="F24" s="36" t="n"/>
      <c r="G24" s="35" t="n"/>
    </row>
    <row r="25" ht="13.5" customHeight="1" s="25">
      <c r="A25" s="33" t="n"/>
      <c r="B25" s="34" t="n"/>
      <c r="C25" s="33" t="n"/>
      <c r="D25" s="35" t="n"/>
      <c r="E25" s="35" t="n"/>
      <c r="F25" s="36" t="n"/>
      <c r="G25" s="35" t="n"/>
    </row>
    <row r="26" ht="13.5" customHeight="1" s="25">
      <c r="A26" s="33" t="n"/>
      <c r="B26" s="34" t="n"/>
      <c r="C26" s="33" t="n"/>
      <c r="D26" s="35" t="n"/>
      <c r="E26" s="35" t="n"/>
      <c r="F26" s="36" t="n"/>
      <c r="G26" s="35" t="n"/>
    </row>
  </sheetData>
  <conditionalFormatting sqref="E2:E26">
    <cfRule type="cellIs" rank="0" priority="2" equalAverage="0" operator="equal" aboveAverage="0" dxfId="2" text="" percent="0" bottom="0">
      <formula>"תקין"</formula>
    </cfRule>
    <cfRule type="cellIs" rank="0" priority="3" equalAverage="0" operator="equal" aboveAverage="0" dxfId="1" text="" percent="0" bottom="0">
      <formula>"הוחלף"</formula>
    </cfRule>
    <cfRule type="cellIs" rank="0" priority="4" equalAverage="0" operator="equal" aboveAverage="0" dxfId="0" text="" percent="0" bottom="0">
      <formula>"שבור"</formula>
    </cfRule>
    <cfRule type="cellIs" rank="0" priority="5" equalAverage="0" operator="equal" aboveAverage="0" dxfId="0" text="" percent="0" bottom="0">
      <formula>"הוסר"</formula>
    </cfRule>
  </conditionalFormatting>
  <dataValidations count="1">
    <dataValidation sqref="E2:E26" showDropDown="0" showInputMessage="0" showErrorMessage="0" allowBlank="1" type="list" errorStyle="stop" operator="between">
      <formula1>"תקין,שבור,הוסר,הוחלף"</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674EA7"/>
    <outlinePr summaryBelow="1" summaryRight="1"/>
    <pageSetUpPr fitToPage="0"/>
  </sheetPr>
  <dimension ref="A1:K14"/>
  <sheetViews>
    <sheetView showFormulas="0" showGridLines="0"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171875" defaultRowHeight="13.5" zeroHeight="0" outlineLevelRow="0"/>
  <cols>
    <col width="6" customWidth="1" style="24" min="1" max="2"/>
    <col width="40" customWidth="1" style="24" min="3" max="4"/>
    <col width="24" customWidth="1" style="24" min="5" max="5"/>
    <col width="11" customWidth="1" style="24" min="6" max="6"/>
    <col width="16" customWidth="1" style="24" min="7" max="8"/>
    <col width="10" customWidth="1" style="24" min="9" max="9"/>
    <col width="12" customWidth="1" style="24" min="10" max="10"/>
    <col width="30" customWidth="1" style="24" min="11" max="11"/>
  </cols>
  <sheetData>
    <row r="1" ht="26.25" customHeight="1" s="25">
      <c r="A1" s="32" t="inlineStr">
        <is>
          <t>מזהה</t>
        </is>
      </c>
      <c r="B1" s="32" t="inlineStr">
        <is>
          <t>סוג</t>
        </is>
      </c>
      <c r="C1" s="32" t="inlineStr">
        <is>
          <t>ניסוח חיפוש (עברית)</t>
        </is>
      </c>
      <c r="D1" s="32" t="inlineStr">
        <is>
          <t>Search Query (English)</t>
        </is>
      </c>
      <c r="E1" s="32" t="inlineStr">
        <is>
          <t>ערוץ מקור</t>
        </is>
      </c>
      <c r="F1" s="32" t="inlineStr">
        <is>
          <t>רמה</t>
        </is>
      </c>
      <c r="G1" s="32" t="inlineStr">
        <is>
          <t>ציוד</t>
        </is>
      </c>
      <c r="H1" s="32" t="inlineStr">
        <is>
          <t>מטרה</t>
        </is>
      </c>
      <c r="I1" s="32" t="inlineStr">
        <is>
          <t>בוצע חיפוש?</t>
        </is>
      </c>
      <c r="J1" s="32" t="inlineStr">
        <is>
          <t>מועמדים שנמצאו</t>
        </is>
      </c>
      <c r="K1" s="32" t="inlineStr">
        <is>
          <t>הערות</t>
        </is>
      </c>
    </row>
    <row r="2" ht="26.25" customHeight="1" s="25">
      <c r="A2" s="33" t="n">
        <v>1</v>
      </c>
      <c r="B2" s="33" t="inlineStr">
        <is>
          <t>תרגיל</t>
        </is>
      </c>
      <c r="C2" s="34" t="inlineStr">
        <is>
          <t>תרגיל פילאטיס בטן וליבה ללא ציוד למתחילים</t>
        </is>
      </c>
      <c r="D2" s="34" t="inlineStr">
        <is>
          <t>pilates core exercise no equipment beginner instructor</t>
        </is>
      </c>
      <c r="E2" s="35" t="inlineStr">
        <is>
          <t>Blogilates + יעל ישראל</t>
        </is>
      </c>
      <c r="F2" s="33" t="inlineStr">
        <is>
          <t>מתחילים</t>
        </is>
      </c>
      <c r="G2" s="33" t="inlineStr">
        <is>
          <t>ללא ציוד</t>
        </is>
      </c>
      <c r="H2" s="33" t="inlineStr">
        <is>
          <t>חיזוק</t>
        </is>
      </c>
      <c r="I2" s="35" t="inlineStr">
        <is>
          <t>V</t>
        </is>
      </c>
      <c r="J2" s="35" t="n">
        <v>2</v>
      </c>
      <c r="K2" s="36" t="n"/>
    </row>
    <row r="3" ht="26.25" customHeight="1" s="25">
      <c r="A3" s="33" t="n">
        <v>2</v>
      </c>
      <c r="B3" s="33" t="inlineStr">
        <is>
          <t>תרגיל</t>
        </is>
      </c>
      <c r="C3" s="34" t="inlineStr">
        <is>
          <t>תרגיל פילאטיס בטן וליבה עם גומיית לולאה למתחילים</t>
        </is>
      </c>
      <c r="D3" s="34" t="inlineStr">
        <is>
          <t>pilates core exercise mini loop band beginner</t>
        </is>
      </c>
      <c r="E3" s="35" t="n"/>
      <c r="F3" s="33" t="inlineStr">
        <is>
          <t>מתחילים</t>
        </is>
      </c>
      <c r="G3" s="33" t="inlineStr">
        <is>
          <t>גומיית לולאה</t>
        </is>
      </c>
      <c r="H3" s="33" t="inlineStr">
        <is>
          <t>חיזוק</t>
        </is>
      </c>
      <c r="I3" s="35" t="n"/>
      <c r="J3" s="35" t="n">
        <v>0</v>
      </c>
      <c r="K3" s="36" t="n"/>
    </row>
    <row r="4" ht="26.25" customHeight="1" s="25">
      <c r="A4" s="33" t="n">
        <v>3</v>
      </c>
      <c r="B4" s="33" t="inlineStr">
        <is>
          <t>תרגיל</t>
        </is>
      </c>
      <c r="C4" s="34" t="inlineStr">
        <is>
          <t>תרגיל פילאטיס גב תחתון ויציבה ללא ציוד למתחילים</t>
        </is>
      </c>
      <c r="D4" s="34" t="inlineStr">
        <is>
          <t>pilates lower back posture exercise no equipment beginner</t>
        </is>
      </c>
      <c r="E4" s="35" t="n"/>
      <c r="F4" s="33" t="inlineStr">
        <is>
          <t>מתחילים</t>
        </is>
      </c>
      <c r="G4" s="33" t="inlineStr">
        <is>
          <t>ללא ציוד</t>
        </is>
      </c>
      <c r="H4" s="33" t="inlineStr">
        <is>
          <t>יציבה ויישור</t>
        </is>
      </c>
      <c r="I4" s="35" t="n"/>
      <c r="J4" s="35" t="n">
        <v>0</v>
      </c>
      <c r="K4" s="36" t="n"/>
    </row>
    <row r="5" ht="26.25" customHeight="1" s="25">
      <c r="A5" s="33" t="n">
        <v>4</v>
      </c>
      <c r="B5" s="33" t="inlineStr">
        <is>
          <t>תרגיל</t>
        </is>
      </c>
      <c r="C5" s="34" t="inlineStr">
        <is>
          <t>תרגיל פילאטיס ישבן וירכיים עם גומיית לולאה למתחילים</t>
        </is>
      </c>
      <c r="D5" s="34" t="inlineStr">
        <is>
          <t>pilates glutes inner thighs mini band beginner</t>
        </is>
      </c>
      <c r="E5" s="35" t="inlineStr">
        <is>
          <t>Blogilates (Cassey Ho)</t>
        </is>
      </c>
      <c r="F5" s="33" t="inlineStr">
        <is>
          <t>מתחילים</t>
        </is>
      </c>
      <c r="G5" s="33" t="inlineStr">
        <is>
          <t>גומיית לולאה</t>
        </is>
      </c>
      <c r="H5" s="33" t="inlineStr">
        <is>
          <t>חיזוק</t>
        </is>
      </c>
      <c r="I5" s="35" t="inlineStr">
        <is>
          <t>V</t>
        </is>
      </c>
      <c r="J5" s="35" t="n">
        <v>1</v>
      </c>
      <c r="K5" s="36" t="n"/>
    </row>
    <row r="6" ht="13.5" customHeight="1" s="25">
      <c r="A6" s="33" t="n">
        <v>5</v>
      </c>
      <c r="B6" s="33" t="inlineStr">
        <is>
          <t>תרגיל</t>
        </is>
      </c>
      <c r="C6" s="34" t="inlineStr">
        <is>
          <t>תרגיל פילאטיס רגליים ללא ציוד למתחילים</t>
        </is>
      </c>
      <c r="D6" s="34" t="inlineStr">
        <is>
          <t>pilates legs exercise no equipment beginner</t>
        </is>
      </c>
      <c r="E6" s="35" t="n"/>
      <c r="F6" s="33" t="inlineStr">
        <is>
          <t>מתחילים</t>
        </is>
      </c>
      <c r="G6" s="33" t="inlineStr">
        <is>
          <t>ללא ציוד</t>
        </is>
      </c>
      <c r="H6" s="33" t="inlineStr">
        <is>
          <t>חיזוק</t>
        </is>
      </c>
      <c r="I6" s="35" t="n"/>
      <c r="J6" s="35" t="n">
        <v>0</v>
      </c>
      <c r="K6" s="36" t="n"/>
    </row>
    <row r="7" ht="26.25" customHeight="1" s="25">
      <c r="A7" s="33" t="n">
        <v>6</v>
      </c>
      <c r="B7" s="33" t="inlineStr">
        <is>
          <t>תרגיל</t>
        </is>
      </c>
      <c r="C7" s="34" t="inlineStr">
        <is>
          <t>תרגיל פילאטיס כתפיים וזרועות ללא ציוד למתחילים</t>
        </is>
      </c>
      <c r="D7" s="34" t="inlineStr">
        <is>
          <t>pilates shoulders arms exercise no equipment beginner</t>
        </is>
      </c>
      <c r="E7" s="35" t="inlineStr">
        <is>
          <t>Blogilates (Cassey Ho)</t>
        </is>
      </c>
      <c r="F7" s="33" t="inlineStr">
        <is>
          <t>מתחילים</t>
        </is>
      </c>
      <c r="G7" s="33" t="inlineStr">
        <is>
          <t>ללא ציוד</t>
        </is>
      </c>
      <c r="H7" s="33" t="inlineStr">
        <is>
          <t>חיזוק</t>
        </is>
      </c>
      <c r="I7" s="35" t="inlineStr">
        <is>
          <t>V</t>
        </is>
      </c>
      <c r="J7" s="35" t="n">
        <v>1</v>
      </c>
      <c r="K7" s="36" t="n"/>
    </row>
    <row r="8" ht="26.25" customHeight="1" s="25">
      <c r="A8" s="33" t="n">
        <v>7</v>
      </c>
      <c r="B8" s="33" t="inlineStr">
        <is>
          <t>תרגיל</t>
        </is>
      </c>
      <c r="C8" s="34" t="inlineStr">
        <is>
          <t>תרגיל פילאטיס גוף מלא ללא ציוד למתחילים</t>
        </is>
      </c>
      <c r="D8" s="34" t="inlineStr">
        <is>
          <t>pilates full body exercise no equipment beginner</t>
        </is>
      </c>
      <c r="E8" s="35" t="inlineStr">
        <is>
          <t>Blogilates + יעל ישראל</t>
        </is>
      </c>
      <c r="F8" s="33" t="inlineStr">
        <is>
          <t>מתחילים</t>
        </is>
      </c>
      <c r="G8" s="33" t="inlineStr">
        <is>
          <t>ללא ציוד</t>
        </is>
      </c>
      <c r="H8" s="33" t="inlineStr">
        <is>
          <t>חיזוק</t>
        </is>
      </c>
      <c r="I8" s="35" t="inlineStr">
        <is>
          <t>V</t>
        </is>
      </c>
      <c r="J8" s="35" t="n">
        <v>2</v>
      </c>
      <c r="K8" s="36" t="n"/>
    </row>
    <row r="9" ht="13.5" customHeight="1" s="25">
      <c r="A9" s="33" t="n">
        <v>8</v>
      </c>
      <c r="B9" s="33" t="inlineStr">
        <is>
          <t>שיעור</t>
        </is>
      </c>
      <c r="C9" s="34" t="inlineStr">
        <is>
          <t>שיעור פילאטיס מלא בסיסי למתחילים ללא ציוד</t>
        </is>
      </c>
      <c r="D9" s="34" t="inlineStr">
        <is>
          <t>beginner pilates full class mat no equipment</t>
        </is>
      </c>
      <c r="E9" s="35" t="inlineStr">
        <is>
          <t>Blogilates + יעל ישראל</t>
        </is>
      </c>
      <c r="F9" s="33" t="inlineStr">
        <is>
          <t>מתחילים</t>
        </is>
      </c>
      <c r="G9" s="33" t="inlineStr">
        <is>
          <t>ללא ציוד</t>
        </is>
      </c>
      <c r="H9" s="33" t="inlineStr">
        <is>
          <t>פילאטיס בסיסי</t>
        </is>
      </c>
      <c r="I9" s="35" t="inlineStr">
        <is>
          <t>V</t>
        </is>
      </c>
      <c r="J9" s="35" t="n">
        <v>2</v>
      </c>
      <c r="K9" s="36" t="n"/>
    </row>
    <row r="10" ht="26.25" customHeight="1" s="25">
      <c r="A10" s="33" t="n">
        <v>9</v>
      </c>
      <c r="B10" s="33" t="inlineStr">
        <is>
          <t>שיעור</t>
        </is>
      </c>
      <c r="C10" s="34" t="inlineStr">
        <is>
          <t>שיעור פילאטיס חיזוק ליבה וגוף מלא בינוני</t>
        </is>
      </c>
      <c r="D10" s="34" t="inlineStr">
        <is>
          <t>pilates core full body strengthening intermediate</t>
        </is>
      </c>
      <c r="E10" s="35" t="inlineStr">
        <is>
          <t>Blogilates + יעל ישראל</t>
        </is>
      </c>
      <c r="F10" s="33" t="inlineStr">
        <is>
          <t>בינוני</t>
        </is>
      </c>
      <c r="G10" s="33" t="inlineStr">
        <is>
          <t>גומיית לולאה</t>
        </is>
      </c>
      <c r="H10" s="33" t="inlineStr">
        <is>
          <t>חיזוק</t>
        </is>
      </c>
      <c r="I10" s="35" t="inlineStr">
        <is>
          <t>V</t>
        </is>
      </c>
      <c r="J10" s="35" t="n">
        <v>2</v>
      </c>
      <c r="K10" s="36" t="n"/>
    </row>
    <row r="11" ht="13.5" customHeight="1" s="25">
      <c r="A11" s="33" t="n">
        <v>10</v>
      </c>
      <c r="B11" s="33" t="inlineStr">
        <is>
          <t>שיעור</t>
        </is>
      </c>
      <c r="C11" s="34" t="inlineStr">
        <is>
          <t>שיעור פילאטיס גמישות ומתיחות למתחילים</t>
        </is>
      </c>
      <c r="D11" s="34" t="inlineStr">
        <is>
          <t>pilates flexibility stretching beginner class</t>
        </is>
      </c>
      <c r="E11" s="35" t="inlineStr">
        <is>
          <t>Blogilates + יעל ישראל</t>
        </is>
      </c>
      <c r="F11" s="33" t="inlineStr">
        <is>
          <t>מתחילים</t>
        </is>
      </c>
      <c r="G11" s="33" t="inlineStr">
        <is>
          <t>ללא ציוד</t>
        </is>
      </c>
      <c r="H11" s="33" t="inlineStr">
        <is>
          <t>גמישות ומתיחה</t>
        </is>
      </c>
      <c r="I11" s="35" t="inlineStr">
        <is>
          <t>V</t>
        </is>
      </c>
      <c r="J11" s="35" t="n">
        <v>1</v>
      </c>
      <c r="K11" s="36" t="n"/>
    </row>
    <row r="12" ht="13.5" customHeight="1" s="25">
      <c r="A12" s="33" t="n">
        <v>11</v>
      </c>
      <c r="B12" s="33" t="inlineStr">
        <is>
          <t>שיעור</t>
        </is>
      </c>
      <c r="C12" s="34" t="inlineStr">
        <is>
          <t>שיעור פילאטיס יציבה ויישור גוף למתחילים</t>
        </is>
      </c>
      <c r="D12" s="34" t="inlineStr">
        <is>
          <t>pilates posture alignment beginner class</t>
        </is>
      </c>
      <c r="E12" s="35" t="n"/>
      <c r="F12" s="33" t="inlineStr">
        <is>
          <t>מתחילים</t>
        </is>
      </c>
      <c r="G12" s="33" t="inlineStr">
        <is>
          <t>ללא ציוד</t>
        </is>
      </c>
      <c r="H12" s="33" t="inlineStr">
        <is>
          <t>יציבה ויישור</t>
        </is>
      </c>
      <c r="I12" s="35" t="n"/>
      <c r="J12" s="35" t="n">
        <v>0</v>
      </c>
      <c r="K12" s="36" t="n"/>
    </row>
    <row r="13" ht="13.5" customHeight="1" s="25">
      <c r="A13" s="33" t="n">
        <v>12</v>
      </c>
      <c r="B13" s="33" t="inlineStr">
        <is>
          <t>שיעור</t>
        </is>
      </c>
      <c r="C13" s="34" t="inlineStr">
        <is>
          <t>שיעור פילאטיס תנועה עדינה למתחילים</t>
        </is>
      </c>
      <c r="D13" s="34" t="inlineStr">
        <is>
          <t>pilates gentle movement beginner seniors</t>
        </is>
      </c>
      <c r="E13" s="35" t="inlineStr">
        <is>
          <t>יעל ישראל (Yael Israel)</t>
        </is>
      </c>
      <c r="F13" s="33" t="inlineStr">
        <is>
          <t>מתחילים</t>
        </is>
      </c>
      <c r="G13" s="33" t="inlineStr">
        <is>
          <t>ללא ציוד</t>
        </is>
      </c>
      <c r="H13" s="33" t="inlineStr">
        <is>
          <t>תנועה עדינה</t>
        </is>
      </c>
      <c r="I13" s="35" t="inlineStr">
        <is>
          <t>V</t>
        </is>
      </c>
      <c r="J13" s="35" t="n">
        <v>1</v>
      </c>
      <c r="K13" s="36" t="n"/>
    </row>
    <row r="14" ht="13.5" customHeight="1" s="25">
      <c r="A14" s="33" t="n">
        <v>13</v>
      </c>
      <c r="B14" s="33" t="inlineStr">
        <is>
          <t>שיעור</t>
        </is>
      </c>
      <c r="C14" s="34" t="inlineStr">
        <is>
          <t>שיעור פילאטיס דינמי אירובי למתחילים</t>
        </is>
      </c>
      <c r="D14" s="34" t="inlineStr">
        <is>
          <t>pilates dynamic cardio beginner class</t>
        </is>
      </c>
      <c r="E14" s="35" t="n"/>
      <c r="F14" s="33" t="inlineStr">
        <is>
          <t>מתחילים</t>
        </is>
      </c>
      <c r="G14" s="33" t="inlineStr">
        <is>
          <t>גומיית לולאה</t>
        </is>
      </c>
      <c r="H14" s="33" t="inlineStr">
        <is>
          <t>פילאטיס דינמי</t>
        </is>
      </c>
      <c r="I14" s="35" t="n"/>
      <c r="J14" s="35" t="n">
        <v>0</v>
      </c>
      <c r="K14" s="36" t="n"/>
    </row>
  </sheetData>
  <conditionalFormatting sqref="J2:J14">
    <cfRule type="cellIs" rank="0" priority="2" equalAverage="0" operator="equal" aboveAverage="0" dxfId="0" text="" percent="0" bottom="0">
      <formula>0</formula>
    </cfRule>
    <cfRule type="cellIs" rank="0" priority="3" equalAverage="0" operator="greaterThan" aboveAverage="0" dxfId="2" text="" percent="0" bottom="0">
      <formula>0</formula>
    </cfRule>
  </conditionalFormatting>
  <dataValidations count="2">
    <dataValidation sqref="I2:I14" showDropDown="0" showInputMessage="0" showErrorMessage="0" allowBlank="1" type="list" errorStyle="stop" operator="between">
      <formula1>"V,X"</formula1>
      <formula2>0</formula2>
    </dataValidation>
    <dataValidation sqref="E2:E14" showDropDown="0" showInputMessage="0" showErrorMessage="0" allowBlank="1" type="list" errorStyle="stop" operator="between">
      <formula1>'ערוצים מאושרים'!$B$2:$B$20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2026-08-29T04:51:31Z</dcterms:created>
  <dcterms:modified xmlns:dcterms="http://purl.org/dc/terms/" xmlns:xsi="http://www.w3.org/2001/XMLSchema-instance" xsi:type="dcterms:W3CDTF">2026-08-29T16:57:32Z</dcterms:modified>
  <cp:lastModifiedBy>Yair Ron</cp:lastModifiedBy>
  <cp:revision>0</cp:revision>
</cp:coreProperties>
</file>