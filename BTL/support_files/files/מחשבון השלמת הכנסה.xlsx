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התנדבות\הייעוץ לקשיש ביטוח לאומי\"/>
    </mc:Choice>
  </mc:AlternateContent>
  <xr:revisionPtr revIDLastSave="0" documentId="8_{AACC59F0-A9BB-4428-8E4B-36125EE2FF0C}" xr6:coauthVersionLast="47" xr6:coauthVersionMax="47" xr10:uidLastSave="{00000000-0000-0000-0000-000000000000}"/>
  <bookViews>
    <workbookView xWindow="12710" yWindow="0" windowWidth="12980" windowHeight="13770" xr2:uid="{528A6071-9042-46DF-9756-07E97C948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G6" i="1"/>
  <c r="H6" i="1"/>
  <c r="I6" i="1" s="1"/>
  <c r="H4" i="1"/>
  <c r="I4" i="1" s="1"/>
  <c r="G4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I5" i="1" l="1"/>
  <c r="J5" i="1"/>
  <c r="L8" i="1"/>
  <c r="J6" i="1"/>
  <c r="J4" i="1"/>
</calcChain>
</file>

<file path=xl/sharedStrings.xml><?xml version="1.0" encoding="utf-8"?>
<sst xmlns="http://schemas.openxmlformats.org/spreadsheetml/2006/main" count="9" uniqueCount="9">
  <si>
    <t>תקרת קצבה</t>
  </si>
  <si>
    <t>תקרת הכנסה מפנסיה</t>
  </si>
  <si>
    <t>תקרת הכנסה מעבודה</t>
  </si>
  <si>
    <t>הכנסה מפנסיה</t>
  </si>
  <si>
    <t>הכנסה מעבודה</t>
  </si>
  <si>
    <t>עודף פנסיה</t>
  </si>
  <si>
    <t>סה"כ קצבה לאחר ניכוי</t>
  </si>
  <si>
    <t>סה"כ ניכוי</t>
  </si>
  <si>
    <t>עודף עבודה ופנסיה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</si>
</sst>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51E7-F180-40AA-9954-3C22A16662AE}">
  <dimension ref="B3:N13"/>
  <sheetViews>
    <sheetView rightToLeft="1" tabSelected="1" workbookViewId="0">
      <selection activeCell="H20" sqref="H20"/>
    </sheetView>
  </sheetViews>
  <sheetFormatPr defaultRowHeight="14" x14ac:dyDescent="0.3"/>
  <cols>
    <col min="2" max="2" width="12.4140625" customWidth="1"/>
  </cols>
  <sheetData>
    <row r="3" spans="2:14" ht="4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8</v>
      </c>
      <c r="I3" s="1" t="s">
        <v>6</v>
      </c>
      <c r="J3" s="1" t="s">
        <v>7</v>
      </c>
      <c r="K3" s="1"/>
      <c r="L3" s="1"/>
      <c r="M3" s="1"/>
      <c r="N3" s="1"/>
    </row>
    <row r="4" spans="2:14" x14ac:dyDescent="0.3">
      <c r="B4">
        <v>4375</v>
      </c>
      <c r="C4">
        <v>1790</v>
      </c>
      <c r="D4">
        <v>3236</v>
      </c>
      <c r="E4">
        <v>900</v>
      </c>
      <c r="F4">
        <v>4000</v>
      </c>
      <c r="G4">
        <f>IF((E4-C4)&lt;=0,0,E4-C4)</f>
        <v>0</v>
      </c>
      <c r="H4">
        <f>IF(IF(F4=0,0,IF(F4&gt;D4,F4-D4,F4))+(IF(G4&gt;0,C4,E4))&lt;D4,IF(F4=0,0,IF(F4&gt;D4,F4-D4,F4))+(IF(G4&gt;0,C4,E4)),IF(F4=0,0,IF(F4&gt;D4,F4-D4,F4))+(IF(G4&gt;0,C4,E4))-D4)</f>
        <v>1664</v>
      </c>
      <c r="I4">
        <f>B4-H4*0.6-G4</f>
        <v>3376.6</v>
      </c>
      <c r="J4">
        <f>H4*0.6</f>
        <v>998.4</v>
      </c>
    </row>
    <row r="5" spans="2:14" x14ac:dyDescent="0.3">
      <c r="B5">
        <v>4375</v>
      </c>
      <c r="C5">
        <v>1790</v>
      </c>
      <c r="D5">
        <v>3236</v>
      </c>
      <c r="E5">
        <v>1800</v>
      </c>
      <c r="F5">
        <v>3500</v>
      </c>
      <c r="G5">
        <f t="shared" ref="G5:G6" si="0">IF((E5-C5)&lt;=0,0,E5-C5)</f>
        <v>10</v>
      </c>
      <c r="H5">
        <f t="shared" ref="H5:H6" si="1">IF(IF(F5=0,0,IF(F5&gt;D5,F5-D5,F5))+(IF(G5&gt;0,C5,E5))&lt;D5,IF(F5=0,0,IF(F5&gt;D5,F5-D5,F5))+(IF(G5&gt;0,C5,E5)),IF(F5=0,0,IF(F5&gt;D5,F5-D5,F5))+(IF(G5&gt;0,C5,E5))-D5)</f>
        <v>2054</v>
      </c>
      <c r="I5">
        <f t="shared" ref="I5:I6" si="2">B5-H5*0.6-G5</f>
        <v>3132.6000000000004</v>
      </c>
      <c r="J5">
        <f t="shared" ref="J5:J6" si="3">H5*0.6</f>
        <v>1232.3999999999999</v>
      </c>
    </row>
    <row r="6" spans="2:14" x14ac:dyDescent="0.3">
      <c r="B6">
        <v>4375</v>
      </c>
      <c r="C6">
        <v>1790</v>
      </c>
      <c r="D6">
        <v>3236</v>
      </c>
      <c r="E6">
        <v>2700</v>
      </c>
      <c r="F6">
        <v>1800</v>
      </c>
      <c r="G6">
        <f t="shared" si="0"/>
        <v>910</v>
      </c>
      <c r="H6">
        <f t="shared" si="1"/>
        <v>354</v>
      </c>
      <c r="I6">
        <f t="shared" si="2"/>
        <v>3252.6000000000004</v>
      </c>
      <c r="J6">
        <f t="shared" si="3"/>
        <v>212.4</v>
      </c>
      <c r="L6">
        <v>1123</v>
      </c>
    </row>
    <row r="7" spans="2:14" x14ac:dyDescent="0.3">
      <c r="B7">
        <v>4375</v>
      </c>
      <c r="C7">
        <v>1790</v>
      </c>
      <c r="D7">
        <v>3236</v>
      </c>
      <c r="G7">
        <f t="shared" ref="G5:G13" si="4">IF((E7-C7)&lt;=0,0,E7-C7)</f>
        <v>0</v>
      </c>
      <c r="H7">
        <f t="shared" ref="H5:H13" si="5">IF(F7=0,0,IF(F7&gt;D7,F7-D7,F7))+(IF(G7&gt;0,C7,E7))</f>
        <v>0</v>
      </c>
      <c r="I7">
        <f t="shared" ref="I5:I13" si="6">B7-H7*0.6-G7</f>
        <v>4375</v>
      </c>
      <c r="J7">
        <f t="shared" ref="J5:J13" si="7">H7*0.6</f>
        <v>0</v>
      </c>
    </row>
    <row r="8" spans="2:14" x14ac:dyDescent="0.3">
      <c r="B8">
        <v>4375</v>
      </c>
      <c r="C8">
        <v>1790</v>
      </c>
      <c r="D8">
        <v>3236</v>
      </c>
      <c r="G8">
        <f t="shared" si="4"/>
        <v>0</v>
      </c>
      <c r="H8">
        <f t="shared" si="5"/>
        <v>0</v>
      </c>
      <c r="I8">
        <f t="shared" si="6"/>
        <v>4375</v>
      </c>
      <c r="J8">
        <f t="shared" si="7"/>
        <v>0</v>
      </c>
      <c r="L8">
        <f>D6-H6-F6</f>
        <v>1082</v>
      </c>
    </row>
    <row r="9" spans="2:14" x14ac:dyDescent="0.3">
      <c r="B9">
        <v>4375</v>
      </c>
      <c r="C9">
        <v>1790</v>
      </c>
      <c r="D9">
        <v>3236</v>
      </c>
      <c r="G9">
        <f t="shared" si="4"/>
        <v>0</v>
      </c>
      <c r="H9">
        <f t="shared" si="5"/>
        <v>0</v>
      </c>
      <c r="I9">
        <f t="shared" si="6"/>
        <v>4375</v>
      </c>
      <c r="J9">
        <f t="shared" si="7"/>
        <v>0</v>
      </c>
    </row>
    <row r="10" spans="2:14" x14ac:dyDescent="0.3">
      <c r="B10">
        <v>4375</v>
      </c>
      <c r="C10">
        <v>1790</v>
      </c>
      <c r="D10">
        <v>3236</v>
      </c>
      <c r="G10">
        <f t="shared" si="4"/>
        <v>0</v>
      </c>
      <c r="H10">
        <f t="shared" si="5"/>
        <v>0</v>
      </c>
      <c r="I10">
        <f t="shared" si="6"/>
        <v>4375</v>
      </c>
      <c r="J10">
        <f t="shared" si="7"/>
        <v>0</v>
      </c>
    </row>
    <row r="11" spans="2:14" x14ac:dyDescent="0.3">
      <c r="B11">
        <v>4375</v>
      </c>
      <c r="C11">
        <v>1790</v>
      </c>
      <c r="D11">
        <v>3236</v>
      </c>
      <c r="G11">
        <f t="shared" si="4"/>
        <v>0</v>
      </c>
      <c r="H11">
        <f t="shared" si="5"/>
        <v>0</v>
      </c>
      <c r="I11">
        <f t="shared" si="6"/>
        <v>4375</v>
      </c>
      <c r="J11">
        <f t="shared" si="7"/>
        <v>0</v>
      </c>
    </row>
    <row r="12" spans="2:14" x14ac:dyDescent="0.3">
      <c r="B12">
        <v>4375</v>
      </c>
      <c r="C12">
        <v>1790</v>
      </c>
      <c r="D12">
        <v>3236</v>
      </c>
      <c r="G12">
        <f t="shared" si="4"/>
        <v>0</v>
      </c>
      <c r="H12">
        <f t="shared" si="5"/>
        <v>0</v>
      </c>
      <c r="I12">
        <f t="shared" si="6"/>
        <v>4375</v>
      </c>
      <c r="J12">
        <f t="shared" si="7"/>
        <v>0</v>
      </c>
    </row>
    <row r="13" spans="2:14" x14ac:dyDescent="0.3">
      <c r="B13">
        <v>4375</v>
      </c>
      <c r="C13">
        <v>1790</v>
      </c>
      <c r="D13">
        <v>3236</v>
      </c>
      <c r="G13">
        <f t="shared" si="4"/>
        <v>0</v>
      </c>
      <c r="H13">
        <f t="shared" si="5"/>
        <v>0</v>
      </c>
      <c r="I13">
        <f t="shared" si="6"/>
        <v>4375</v>
      </c>
      <c r="J13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 Ron</dc:creator>
  <cp:lastModifiedBy>Yair Ron</cp:lastModifiedBy>
  <dcterms:created xsi:type="dcterms:W3CDTF">2026-03-23T17:44:56Z</dcterms:created>
  <dcterms:modified xsi:type="dcterms:W3CDTF">2026-03-23T18:55:16Z</dcterms:modified>
</cp:coreProperties>
</file>